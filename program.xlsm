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bcg_objects" sheetId="1" r:id="rId1"/>
    <sheet name="prob_table" sheetId="2" r:id="rId2"/>
    <sheet name="upgrades_price" sheetId="3" r:id="rId3"/>
    <sheet name="Лист4" sheetId="4" r:id="rId4"/>
  </sheets>
  <definedNames>
    <definedName name="_xlnm._FilterDatabase" localSheetId="0" hidden="1">bcg_objects!$A$1:$L$1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3" l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3" i="3"/>
  <c r="I129" i="1"/>
  <c r="H129" i="1"/>
  <c r="G129" i="1"/>
  <c r="F129" i="1"/>
  <c r="E129" i="1"/>
  <c r="I128" i="1"/>
  <c r="H128" i="1"/>
  <c r="G128" i="1"/>
  <c r="F128" i="1"/>
  <c r="E128" i="1"/>
  <c r="I127" i="1"/>
  <c r="H127" i="1"/>
  <c r="G127" i="1"/>
  <c r="F127" i="1"/>
  <c r="E127" i="1"/>
  <c r="I126" i="1"/>
  <c r="H126" i="1"/>
  <c r="G126" i="1"/>
  <c r="F126" i="1"/>
  <c r="E126" i="1"/>
  <c r="I125" i="1"/>
  <c r="H125" i="1"/>
  <c r="G125" i="1"/>
  <c r="F125" i="1"/>
  <c r="E125" i="1"/>
  <c r="I124" i="1"/>
  <c r="H124" i="1"/>
  <c r="G124" i="1"/>
  <c r="F124" i="1"/>
  <c r="E124" i="1"/>
  <c r="I123" i="1"/>
  <c r="H123" i="1"/>
  <c r="G123" i="1"/>
  <c r="F123" i="1"/>
  <c r="E123" i="1"/>
  <c r="I122" i="1"/>
  <c r="H122" i="1"/>
  <c r="G122" i="1"/>
  <c r="F122" i="1"/>
  <c r="E122" i="1"/>
  <c r="I121" i="1"/>
  <c r="H121" i="1"/>
  <c r="G121" i="1"/>
  <c r="F121" i="1"/>
  <c r="E121" i="1"/>
  <c r="I120" i="1"/>
  <c r="H120" i="1"/>
  <c r="G120" i="1"/>
  <c r="F120" i="1"/>
  <c r="E120" i="1"/>
  <c r="I119" i="1"/>
  <c r="H119" i="1"/>
  <c r="G119" i="1"/>
  <c r="F119" i="1"/>
  <c r="E119" i="1"/>
  <c r="I118" i="1"/>
  <c r="H118" i="1"/>
  <c r="G118" i="1"/>
  <c r="F118" i="1"/>
  <c r="E118" i="1"/>
  <c r="I117" i="1"/>
  <c r="H117" i="1"/>
  <c r="G117" i="1"/>
  <c r="F117" i="1"/>
  <c r="E117" i="1"/>
  <c r="I116" i="1"/>
  <c r="H116" i="1"/>
  <c r="G116" i="1"/>
  <c r="F116" i="1"/>
  <c r="E116" i="1"/>
  <c r="I115" i="1"/>
  <c r="H115" i="1"/>
  <c r="G115" i="1"/>
  <c r="F115" i="1"/>
  <c r="E115" i="1"/>
  <c r="I114" i="1"/>
  <c r="H114" i="1"/>
  <c r="G114" i="1"/>
  <c r="F114" i="1"/>
  <c r="E114" i="1"/>
  <c r="I113" i="1"/>
  <c r="H113" i="1"/>
  <c r="G113" i="1"/>
  <c r="F113" i="1"/>
  <c r="E113" i="1"/>
  <c r="I112" i="1"/>
  <c r="H112" i="1"/>
  <c r="G112" i="1"/>
  <c r="F112" i="1"/>
  <c r="E112" i="1"/>
  <c r="I111" i="1"/>
  <c r="H111" i="1"/>
  <c r="G111" i="1"/>
  <c r="F111" i="1"/>
  <c r="E111" i="1"/>
  <c r="I110" i="1"/>
  <c r="H110" i="1"/>
  <c r="G110" i="1"/>
  <c r="F110" i="1"/>
  <c r="E110" i="1"/>
  <c r="I109" i="1"/>
  <c r="H109" i="1"/>
  <c r="G109" i="1"/>
  <c r="F109" i="1"/>
  <c r="E109" i="1"/>
  <c r="I108" i="1"/>
  <c r="H108" i="1"/>
  <c r="G108" i="1"/>
  <c r="F108" i="1"/>
  <c r="E108" i="1"/>
  <c r="I107" i="1"/>
  <c r="H107" i="1"/>
  <c r="G107" i="1"/>
  <c r="F107" i="1"/>
  <c r="E107" i="1"/>
  <c r="I106" i="1"/>
  <c r="H106" i="1"/>
  <c r="G106" i="1"/>
  <c r="F106" i="1"/>
  <c r="E106" i="1"/>
  <c r="I105" i="1"/>
  <c r="H105" i="1"/>
  <c r="G105" i="1"/>
  <c r="F105" i="1"/>
  <c r="E105" i="1"/>
  <c r="I104" i="1"/>
  <c r="H104" i="1"/>
  <c r="G104" i="1"/>
  <c r="F104" i="1"/>
  <c r="E104" i="1"/>
  <c r="I103" i="1"/>
  <c r="H103" i="1"/>
  <c r="G103" i="1"/>
  <c r="F103" i="1"/>
  <c r="E103" i="1"/>
  <c r="I101" i="1"/>
  <c r="H101" i="1"/>
  <c r="G101" i="1"/>
  <c r="F101" i="1"/>
  <c r="E101" i="1"/>
  <c r="I100" i="1"/>
  <c r="H100" i="1"/>
  <c r="G100" i="1"/>
  <c r="F100" i="1"/>
  <c r="E100" i="1"/>
  <c r="I99" i="1"/>
  <c r="H99" i="1"/>
  <c r="G99" i="1"/>
  <c r="F99" i="1"/>
  <c r="E99" i="1"/>
  <c r="I98" i="1"/>
  <c r="H98" i="1"/>
  <c r="G98" i="1"/>
  <c r="F98" i="1"/>
  <c r="E98" i="1"/>
  <c r="I97" i="1"/>
  <c r="H97" i="1"/>
  <c r="G97" i="1"/>
  <c r="F97" i="1"/>
  <c r="E97" i="1"/>
  <c r="I96" i="1"/>
  <c r="H96" i="1"/>
  <c r="G96" i="1"/>
  <c r="F96" i="1"/>
  <c r="E96" i="1"/>
  <c r="I95" i="1"/>
  <c r="H95" i="1"/>
  <c r="G95" i="1"/>
  <c r="F95" i="1"/>
  <c r="E95" i="1"/>
  <c r="I94" i="1"/>
  <c r="H94" i="1"/>
  <c r="G94" i="1"/>
  <c r="F94" i="1"/>
  <c r="E94" i="1"/>
  <c r="I93" i="1"/>
  <c r="H93" i="1"/>
  <c r="G93" i="1"/>
  <c r="F93" i="1"/>
  <c r="E93" i="1"/>
  <c r="I92" i="1"/>
  <c r="H92" i="1"/>
  <c r="G92" i="1"/>
  <c r="F92" i="1"/>
  <c r="E92" i="1"/>
  <c r="I91" i="1"/>
  <c r="H91" i="1"/>
  <c r="G91" i="1"/>
  <c r="F91" i="1"/>
  <c r="E91" i="1"/>
  <c r="I90" i="1"/>
  <c r="H90" i="1"/>
  <c r="G90" i="1"/>
  <c r="F90" i="1"/>
  <c r="E90" i="1"/>
  <c r="I89" i="1"/>
  <c r="H89" i="1"/>
  <c r="G89" i="1"/>
  <c r="F89" i="1"/>
  <c r="E89" i="1"/>
  <c r="I88" i="1"/>
  <c r="H88" i="1"/>
  <c r="G88" i="1"/>
  <c r="F88" i="1"/>
  <c r="E88" i="1"/>
  <c r="I87" i="1"/>
  <c r="H87" i="1"/>
  <c r="G87" i="1"/>
  <c r="F87" i="1"/>
  <c r="E87" i="1"/>
  <c r="I86" i="1"/>
  <c r="H86" i="1"/>
  <c r="G86" i="1"/>
  <c r="F86" i="1"/>
  <c r="E86" i="1"/>
  <c r="I85" i="1"/>
  <c r="H85" i="1"/>
  <c r="G85" i="1"/>
  <c r="F85" i="1"/>
  <c r="E85" i="1"/>
  <c r="I84" i="1"/>
  <c r="H84" i="1"/>
  <c r="G84" i="1"/>
  <c r="F84" i="1"/>
  <c r="E84" i="1"/>
  <c r="I83" i="1"/>
  <c r="H83" i="1"/>
  <c r="G83" i="1"/>
  <c r="F83" i="1"/>
  <c r="E83" i="1"/>
  <c r="I82" i="1"/>
  <c r="H82" i="1"/>
  <c r="G82" i="1"/>
  <c r="F82" i="1"/>
  <c r="E82" i="1"/>
  <c r="I81" i="1"/>
  <c r="H81" i="1"/>
  <c r="G81" i="1"/>
  <c r="F81" i="1"/>
  <c r="E81" i="1"/>
  <c r="I80" i="1"/>
  <c r="H80" i="1"/>
  <c r="G80" i="1"/>
  <c r="F80" i="1"/>
  <c r="E80" i="1"/>
  <c r="I79" i="1"/>
  <c r="H79" i="1"/>
  <c r="G79" i="1"/>
  <c r="F79" i="1"/>
  <c r="E79" i="1"/>
  <c r="I78" i="1"/>
  <c r="H78" i="1"/>
  <c r="G78" i="1"/>
  <c r="F78" i="1"/>
  <c r="E78" i="1"/>
  <c r="I77" i="1"/>
  <c r="H77" i="1"/>
  <c r="G77" i="1"/>
  <c r="F77" i="1"/>
  <c r="E77" i="1"/>
  <c r="I76" i="1"/>
  <c r="H76" i="1"/>
  <c r="G76" i="1"/>
  <c r="F76" i="1"/>
  <c r="E76" i="1"/>
  <c r="I75" i="1"/>
  <c r="H75" i="1"/>
  <c r="G75" i="1"/>
  <c r="F75" i="1"/>
  <c r="E75" i="1"/>
  <c r="I74" i="1"/>
  <c r="H74" i="1"/>
  <c r="G74" i="1"/>
  <c r="F74" i="1"/>
  <c r="E74" i="1"/>
  <c r="I73" i="1"/>
  <c r="H73" i="1"/>
  <c r="G73" i="1"/>
  <c r="F73" i="1"/>
  <c r="E73" i="1"/>
  <c r="I72" i="1"/>
  <c r="H72" i="1"/>
  <c r="G72" i="1"/>
  <c r="F72" i="1"/>
  <c r="E72" i="1"/>
  <c r="I71" i="1"/>
  <c r="H71" i="1"/>
  <c r="G71" i="1"/>
  <c r="F71" i="1"/>
  <c r="E71" i="1"/>
  <c r="I70" i="1"/>
  <c r="H70" i="1"/>
  <c r="G70" i="1"/>
  <c r="F70" i="1"/>
  <c r="E70" i="1"/>
  <c r="I69" i="1"/>
  <c r="H69" i="1"/>
  <c r="G69" i="1"/>
  <c r="F69" i="1"/>
  <c r="E69" i="1"/>
  <c r="I68" i="1"/>
  <c r="H68" i="1"/>
  <c r="G68" i="1"/>
  <c r="F68" i="1"/>
  <c r="E68" i="1"/>
  <c r="I66" i="1"/>
  <c r="H66" i="1"/>
  <c r="G66" i="1"/>
  <c r="F66" i="1"/>
  <c r="E66" i="1"/>
  <c r="I65" i="1"/>
  <c r="H65" i="1"/>
  <c r="G65" i="1"/>
  <c r="F65" i="1"/>
  <c r="E65" i="1"/>
  <c r="I64" i="1"/>
  <c r="H64" i="1"/>
  <c r="G64" i="1"/>
  <c r="F64" i="1"/>
  <c r="E64" i="1"/>
  <c r="I63" i="1"/>
  <c r="H63" i="1"/>
  <c r="G63" i="1"/>
  <c r="F63" i="1"/>
  <c r="E63" i="1"/>
  <c r="I62" i="1"/>
  <c r="H62" i="1"/>
  <c r="G62" i="1"/>
  <c r="F62" i="1"/>
  <c r="E62" i="1"/>
  <c r="I61" i="1"/>
  <c r="H61" i="1"/>
  <c r="G61" i="1"/>
  <c r="F61" i="1"/>
  <c r="E61" i="1"/>
  <c r="I60" i="1"/>
  <c r="H60" i="1"/>
  <c r="G60" i="1"/>
  <c r="F60" i="1"/>
  <c r="E60" i="1"/>
  <c r="I59" i="1"/>
  <c r="H59" i="1"/>
  <c r="G59" i="1"/>
  <c r="F59" i="1"/>
  <c r="E59" i="1"/>
  <c r="I58" i="1"/>
  <c r="H58" i="1"/>
  <c r="G58" i="1"/>
  <c r="F58" i="1"/>
  <c r="E58" i="1"/>
  <c r="I57" i="1"/>
  <c r="H57" i="1"/>
  <c r="G57" i="1"/>
  <c r="F57" i="1"/>
  <c r="E57" i="1"/>
  <c r="I56" i="1"/>
  <c r="H56" i="1"/>
  <c r="G56" i="1"/>
  <c r="F56" i="1"/>
  <c r="E56" i="1"/>
  <c r="J127" i="1" l="1"/>
  <c r="J94" i="1"/>
  <c r="J111" i="1"/>
  <c r="K124" i="1"/>
  <c r="K128" i="1"/>
  <c r="K58" i="1"/>
  <c r="K62" i="1"/>
  <c r="K91" i="1"/>
  <c r="K95" i="1"/>
  <c r="K68" i="1"/>
  <c r="K84" i="1"/>
  <c r="K89" i="1"/>
  <c r="K93" i="1"/>
  <c r="K97" i="1"/>
  <c r="K100" i="1"/>
  <c r="K114" i="1"/>
  <c r="K64" i="1"/>
  <c r="K81" i="1"/>
  <c r="J61" i="1"/>
  <c r="J78" i="1"/>
  <c r="J81" i="1"/>
  <c r="K117" i="1"/>
  <c r="K122" i="1"/>
  <c r="K126" i="1"/>
  <c r="K56" i="1"/>
  <c r="K60" i="1"/>
  <c r="J114" i="1"/>
  <c r="J64" i="1"/>
  <c r="K73" i="1"/>
  <c r="K77" i="1"/>
  <c r="J97" i="1"/>
  <c r="K106" i="1"/>
  <c r="K110" i="1"/>
  <c r="K75" i="1"/>
  <c r="K79" i="1"/>
  <c r="K108" i="1"/>
  <c r="K112" i="1"/>
  <c r="K118" i="1"/>
  <c r="J56" i="1"/>
  <c r="L56" i="1" s="1"/>
  <c r="K59" i="1"/>
  <c r="J70" i="1"/>
  <c r="J73" i="1"/>
  <c r="K76" i="1"/>
  <c r="J86" i="1"/>
  <c r="J89" i="1"/>
  <c r="K92" i="1"/>
  <c r="J103" i="1"/>
  <c r="J106" i="1"/>
  <c r="K109" i="1"/>
  <c r="J119" i="1"/>
  <c r="J122" i="1"/>
  <c r="K125" i="1"/>
  <c r="K69" i="1"/>
  <c r="K85" i="1"/>
  <c r="K101" i="1"/>
  <c r="K66" i="1"/>
  <c r="K71" i="1"/>
  <c r="K83" i="1"/>
  <c r="K87" i="1"/>
  <c r="K99" i="1"/>
  <c r="K104" i="1"/>
  <c r="K116" i="1"/>
  <c r="K120" i="1"/>
  <c r="J57" i="1"/>
  <c r="J60" i="1"/>
  <c r="K63" i="1"/>
  <c r="J65" i="1"/>
  <c r="J69" i="1"/>
  <c r="K72" i="1"/>
  <c r="J74" i="1"/>
  <c r="J77" i="1"/>
  <c r="K80" i="1"/>
  <c r="J82" i="1"/>
  <c r="J85" i="1"/>
  <c r="K88" i="1"/>
  <c r="J90" i="1"/>
  <c r="J93" i="1"/>
  <c r="K96" i="1"/>
  <c r="J98" i="1"/>
  <c r="J101" i="1"/>
  <c r="K105" i="1"/>
  <c r="J107" i="1"/>
  <c r="J110" i="1"/>
  <c r="K113" i="1"/>
  <c r="J115" i="1"/>
  <c r="J118" i="1"/>
  <c r="L118" i="1" s="1"/>
  <c r="K121" i="1"/>
  <c r="J123" i="1"/>
  <c r="J126" i="1"/>
  <c r="K129" i="1"/>
  <c r="J59" i="1"/>
  <c r="J63" i="1"/>
  <c r="J68" i="1"/>
  <c r="L68" i="1" s="1"/>
  <c r="J72" i="1"/>
  <c r="J76" i="1"/>
  <c r="J80" i="1"/>
  <c r="J84" i="1"/>
  <c r="J88" i="1"/>
  <c r="J92" i="1"/>
  <c r="J96" i="1"/>
  <c r="J100" i="1"/>
  <c r="J105" i="1"/>
  <c r="J109" i="1"/>
  <c r="J113" i="1"/>
  <c r="J117" i="1"/>
  <c r="J121" i="1"/>
  <c r="J125" i="1"/>
  <c r="J129" i="1"/>
  <c r="K57" i="1"/>
  <c r="K61" i="1"/>
  <c r="K65" i="1"/>
  <c r="K70" i="1"/>
  <c r="K74" i="1"/>
  <c r="K78" i="1"/>
  <c r="K82" i="1"/>
  <c r="K86" i="1"/>
  <c r="K90" i="1"/>
  <c r="K94" i="1"/>
  <c r="L94" i="1" s="1"/>
  <c r="K98" i="1"/>
  <c r="K103" i="1"/>
  <c r="K107" i="1"/>
  <c r="K111" i="1"/>
  <c r="L111" i="1" s="1"/>
  <c r="K115" i="1"/>
  <c r="K119" i="1"/>
  <c r="K123" i="1"/>
  <c r="K127" i="1"/>
  <c r="L127" i="1" s="1"/>
  <c r="J58" i="1"/>
  <c r="J62" i="1"/>
  <c r="J66" i="1"/>
  <c r="J71" i="1"/>
  <c r="J75" i="1"/>
  <c r="J79" i="1"/>
  <c r="J83" i="1"/>
  <c r="J87" i="1"/>
  <c r="J91" i="1"/>
  <c r="L91" i="1" s="1"/>
  <c r="J95" i="1"/>
  <c r="J99" i="1"/>
  <c r="J104" i="1"/>
  <c r="J108" i="1"/>
  <c r="J112" i="1"/>
  <c r="J116" i="1"/>
  <c r="J120" i="1"/>
  <c r="J124" i="1"/>
  <c r="J128" i="1"/>
  <c r="L57" i="1" l="1"/>
  <c r="L104" i="1"/>
  <c r="L76" i="1"/>
  <c r="L71" i="1"/>
  <c r="L85" i="1"/>
  <c r="L114" i="1"/>
  <c r="L88" i="1"/>
  <c r="L113" i="1"/>
  <c r="L80" i="1"/>
  <c r="L121" i="1"/>
  <c r="L128" i="1"/>
  <c r="L122" i="1"/>
  <c r="L95" i="1"/>
  <c r="L61" i="1"/>
  <c r="L124" i="1"/>
  <c r="L58" i="1"/>
  <c r="L62" i="1"/>
  <c r="L78" i="1"/>
  <c r="L93" i="1"/>
  <c r="L117" i="1"/>
  <c r="L100" i="1"/>
  <c r="L84" i="1"/>
  <c r="L60" i="1"/>
  <c r="L89" i="1"/>
  <c r="L97" i="1"/>
  <c r="L83" i="1"/>
  <c r="L116" i="1"/>
  <c r="L79" i="1"/>
  <c r="L103" i="1"/>
  <c r="L101" i="1"/>
  <c r="L99" i="1"/>
  <c r="L66" i="1"/>
  <c r="L107" i="1"/>
  <c r="L126" i="1"/>
  <c r="L115" i="1"/>
  <c r="L105" i="1"/>
  <c r="L82" i="1"/>
  <c r="L72" i="1"/>
  <c r="L81" i="1"/>
  <c r="L73" i="1"/>
  <c r="L108" i="1"/>
  <c r="L110" i="1"/>
  <c r="L77" i="1"/>
  <c r="L106" i="1"/>
  <c r="L64" i="1"/>
  <c r="L120" i="1"/>
  <c r="L74" i="1"/>
  <c r="L75" i="1"/>
  <c r="L109" i="1"/>
  <c r="L92" i="1"/>
  <c r="L98" i="1"/>
  <c r="L65" i="1"/>
  <c r="L87" i="1"/>
  <c r="L112" i="1"/>
  <c r="L119" i="1"/>
  <c r="L70" i="1"/>
  <c r="L129" i="1"/>
  <c r="L96" i="1"/>
  <c r="L63" i="1"/>
  <c r="L123" i="1"/>
  <c r="L90" i="1"/>
  <c r="L69" i="1"/>
  <c r="L125" i="1"/>
  <c r="L86" i="1"/>
  <c r="L59" i="1"/>
  <c r="B2" i="2" l="1"/>
  <c r="C1" i="2" s="1"/>
  <c r="C2" i="2" s="1"/>
  <c r="D1" i="2" s="1"/>
  <c r="D2" i="2" s="1"/>
  <c r="C19" i="2"/>
  <c r="D19" i="2" s="1"/>
  <c r="E19" i="2" s="1"/>
  <c r="H19" i="2" s="1"/>
  <c r="I19" i="2" s="1"/>
  <c r="J19" i="2" s="1"/>
  <c r="C18" i="2"/>
  <c r="D18" i="2" s="1"/>
  <c r="E18" i="2" s="1"/>
  <c r="F18" i="2" s="1"/>
  <c r="G18" i="2" s="1"/>
  <c r="J18" i="2" s="1"/>
  <c r="K18" i="2" s="1"/>
  <c r="L18" i="2" s="1"/>
  <c r="C17" i="2"/>
  <c r="D17" i="2" s="1"/>
  <c r="E17" i="2" s="1"/>
  <c r="G17" i="2" s="1"/>
  <c r="H17" i="2" s="1"/>
  <c r="L17" i="2" s="1"/>
  <c r="F16" i="2"/>
  <c r="H16" i="2" s="1"/>
  <c r="K16" i="2" s="1"/>
  <c r="L16" i="2" s="1"/>
  <c r="C16" i="2"/>
  <c r="C15" i="2"/>
  <c r="D15" i="2" s="1"/>
  <c r="C14" i="2"/>
  <c r="D14" i="2" s="1"/>
  <c r="E14" i="2" s="1"/>
  <c r="H14" i="2" s="1"/>
  <c r="I14" i="2" s="1"/>
  <c r="J14" i="2" s="1"/>
  <c r="K14" i="2" s="1"/>
  <c r="L14" i="2" s="1"/>
  <c r="C13" i="2"/>
  <c r="D13" i="2" s="1"/>
  <c r="E13" i="2" s="1"/>
  <c r="F13" i="2" s="1"/>
  <c r="G13" i="2" s="1"/>
  <c r="H13" i="2" s="1"/>
  <c r="K13" i="2" s="1"/>
  <c r="L13" i="2" s="1"/>
  <c r="C12" i="2"/>
  <c r="E12" i="2" s="1"/>
  <c r="G12" i="2" s="1"/>
  <c r="H12" i="2" s="1"/>
  <c r="I12" i="2" s="1"/>
  <c r="J12" i="2" s="1"/>
  <c r="K12" i="2" s="1"/>
  <c r="L12" i="2" s="1"/>
  <c r="C11" i="2"/>
  <c r="F11" i="2" s="1"/>
  <c r="H11" i="2" s="1"/>
  <c r="I11" i="2" s="1"/>
  <c r="J11" i="2" s="1"/>
  <c r="K11" i="2" s="1"/>
  <c r="L11" i="2" s="1"/>
  <c r="C10" i="2"/>
  <c r="D10" i="2" s="1"/>
  <c r="E10" i="2" s="1"/>
  <c r="F10" i="2" s="1"/>
  <c r="J10" i="2" s="1"/>
  <c r="L10" i="2" s="1"/>
  <c r="H9" i="2"/>
  <c r="I9" i="2" s="1"/>
  <c r="J9" i="2" s="1"/>
  <c r="K9" i="2" s="1"/>
  <c r="L9" i="2" s="1"/>
  <c r="C8" i="2"/>
  <c r="D8" i="2" s="1"/>
  <c r="E8" i="2" s="1"/>
  <c r="H8" i="2" s="1"/>
  <c r="I8" i="2" s="1"/>
  <c r="J8" i="2" s="1"/>
  <c r="K8" i="2" s="1"/>
  <c r="L8" i="2" s="1"/>
  <c r="C7" i="2"/>
  <c r="G7" i="2" s="1"/>
  <c r="H7" i="2" s="1"/>
  <c r="I7" i="2" s="1"/>
  <c r="J7" i="2" s="1"/>
  <c r="K7" i="2" s="1"/>
  <c r="L7" i="2" s="1"/>
  <c r="C6" i="2"/>
  <c r="D6" i="2" s="1"/>
  <c r="E6" i="2" s="1"/>
  <c r="F6" i="2" s="1"/>
  <c r="G6" i="2" s="1"/>
  <c r="H6" i="2" s="1"/>
  <c r="I6" i="2" s="1"/>
  <c r="J6" i="2" s="1"/>
  <c r="K6" i="2" s="1"/>
  <c r="L6" i="2" s="1"/>
  <c r="C5" i="2"/>
  <c r="D5" i="2" s="1"/>
  <c r="E5" i="2" s="1"/>
  <c r="F5" i="2" s="1"/>
  <c r="G5" i="2" s="1"/>
  <c r="H5" i="2" s="1"/>
  <c r="I5" i="2" s="1"/>
  <c r="J5" i="2" s="1"/>
  <c r="K5" i="2" s="1"/>
  <c r="L5" i="2" s="1"/>
  <c r="H4" i="2"/>
  <c r="I4" i="2" s="1"/>
  <c r="J4" i="2" s="1"/>
  <c r="K4" i="2" s="1"/>
  <c r="L4" i="2" s="1"/>
  <c r="H15" i="2" l="1"/>
  <c r="I15" i="2" s="1"/>
  <c r="J15" i="2" s="1"/>
  <c r="K15" i="2" s="1"/>
  <c r="L15" i="2" s="1"/>
  <c r="E15" i="2"/>
  <c r="F15" i="2" s="1"/>
  <c r="G15" i="2" s="1"/>
  <c r="K19" i="2"/>
  <c r="L19" i="2" s="1"/>
  <c r="C4" i="4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I130" i="1" l="1"/>
  <c r="H130" i="1"/>
  <c r="G130" i="1"/>
  <c r="K130" i="1" l="1"/>
  <c r="J130" i="1"/>
  <c r="L130" i="1" l="1"/>
  <c r="B20" i="2"/>
  <c r="D4" i="4" l="1"/>
  <c r="D5" i="4" s="1"/>
  <c r="D6" i="4" s="1"/>
  <c r="D7" i="4" s="1"/>
  <c r="D8" i="4" s="1"/>
  <c r="D9" i="4" s="1"/>
  <c r="D10" i="4" s="1"/>
  <c r="D11" i="4" s="1"/>
  <c r="D12" i="4" s="1"/>
  <c r="G3" i="4" l="1"/>
  <c r="F4" i="4"/>
  <c r="F5" i="4" s="1"/>
  <c r="F6" i="4" s="1"/>
  <c r="F7" i="4" s="1"/>
  <c r="F8" i="4" s="1"/>
  <c r="F9" i="4" s="1"/>
  <c r="F10" i="4" s="1"/>
  <c r="E4" i="4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l="1"/>
  <c r="F11" i="4"/>
  <c r="F12" i="4" s="1"/>
  <c r="G4" i="4"/>
  <c r="G11" i="4"/>
  <c r="G7" i="4"/>
  <c r="G10" i="4"/>
  <c r="G6" i="4"/>
  <c r="G9" i="4"/>
  <c r="G5" i="4"/>
  <c r="G8" i="4"/>
  <c r="E2" i="3"/>
  <c r="F13" i="4" l="1"/>
  <c r="G12" i="4"/>
  <c r="E4" i="3"/>
  <c r="E3" i="3"/>
  <c r="E24" i="1"/>
  <c r="F24" i="1"/>
  <c r="G24" i="1"/>
  <c r="H24" i="1"/>
  <c r="I24" i="1"/>
  <c r="E25" i="1"/>
  <c r="F25" i="1"/>
  <c r="G25" i="1"/>
  <c r="H25" i="1"/>
  <c r="I25" i="1"/>
  <c r="E26" i="1"/>
  <c r="F26" i="1"/>
  <c r="G26" i="1"/>
  <c r="H26" i="1"/>
  <c r="I26" i="1"/>
  <c r="E27" i="1"/>
  <c r="F27" i="1"/>
  <c r="G27" i="1"/>
  <c r="H27" i="1"/>
  <c r="I27" i="1"/>
  <c r="E28" i="1"/>
  <c r="F28" i="1"/>
  <c r="G28" i="1"/>
  <c r="H28" i="1"/>
  <c r="I28" i="1"/>
  <c r="E29" i="1"/>
  <c r="F29" i="1"/>
  <c r="G29" i="1"/>
  <c r="H29" i="1"/>
  <c r="I29" i="1"/>
  <c r="E30" i="1"/>
  <c r="F30" i="1"/>
  <c r="G30" i="1"/>
  <c r="H30" i="1"/>
  <c r="I30" i="1"/>
  <c r="E31" i="1"/>
  <c r="F31" i="1"/>
  <c r="G31" i="1"/>
  <c r="H31" i="1"/>
  <c r="I31" i="1"/>
  <c r="E32" i="1"/>
  <c r="F32" i="1"/>
  <c r="G32" i="1"/>
  <c r="H32" i="1"/>
  <c r="I32" i="1"/>
  <c r="E33" i="1"/>
  <c r="F33" i="1"/>
  <c r="G33" i="1"/>
  <c r="H33" i="1"/>
  <c r="I33" i="1"/>
  <c r="E34" i="1"/>
  <c r="F34" i="1"/>
  <c r="G34" i="1"/>
  <c r="H34" i="1"/>
  <c r="I34" i="1"/>
  <c r="E35" i="1"/>
  <c r="F35" i="1"/>
  <c r="G35" i="1"/>
  <c r="H35" i="1"/>
  <c r="I35" i="1"/>
  <c r="E36" i="1"/>
  <c r="F36" i="1"/>
  <c r="G36" i="1"/>
  <c r="H36" i="1"/>
  <c r="I36" i="1"/>
  <c r="E37" i="1"/>
  <c r="F37" i="1"/>
  <c r="G37" i="1"/>
  <c r="H37" i="1"/>
  <c r="I37" i="1"/>
  <c r="E38" i="1"/>
  <c r="F38" i="1"/>
  <c r="G38" i="1"/>
  <c r="H38" i="1"/>
  <c r="I38" i="1"/>
  <c r="E39" i="1"/>
  <c r="F39" i="1"/>
  <c r="G39" i="1"/>
  <c r="H39" i="1"/>
  <c r="I39" i="1"/>
  <c r="E40" i="1"/>
  <c r="F40" i="1"/>
  <c r="G40" i="1"/>
  <c r="H40" i="1"/>
  <c r="I40" i="1"/>
  <c r="E41" i="1"/>
  <c r="F41" i="1"/>
  <c r="G41" i="1"/>
  <c r="H41" i="1"/>
  <c r="I41" i="1"/>
  <c r="E42" i="1"/>
  <c r="F42" i="1"/>
  <c r="G42" i="1"/>
  <c r="H42" i="1"/>
  <c r="I42" i="1"/>
  <c r="E43" i="1"/>
  <c r="F43" i="1"/>
  <c r="G43" i="1"/>
  <c r="H43" i="1"/>
  <c r="I43" i="1"/>
  <c r="E44" i="1"/>
  <c r="F44" i="1"/>
  <c r="G44" i="1"/>
  <c r="H44" i="1"/>
  <c r="I44" i="1"/>
  <c r="E45" i="1"/>
  <c r="F45" i="1"/>
  <c r="G45" i="1"/>
  <c r="H45" i="1"/>
  <c r="I45" i="1"/>
  <c r="E46" i="1"/>
  <c r="F46" i="1"/>
  <c r="G46" i="1"/>
  <c r="H46" i="1"/>
  <c r="I46" i="1"/>
  <c r="E47" i="1"/>
  <c r="F47" i="1"/>
  <c r="G47" i="1"/>
  <c r="H47" i="1"/>
  <c r="I47" i="1"/>
  <c r="E48" i="1"/>
  <c r="F48" i="1"/>
  <c r="G48" i="1"/>
  <c r="H48" i="1"/>
  <c r="I48" i="1"/>
  <c r="E49" i="1"/>
  <c r="F49" i="1"/>
  <c r="G49" i="1"/>
  <c r="H49" i="1"/>
  <c r="I49" i="1"/>
  <c r="E50" i="1"/>
  <c r="F50" i="1"/>
  <c r="G50" i="1"/>
  <c r="H50" i="1"/>
  <c r="I50" i="1"/>
  <c r="E51" i="1"/>
  <c r="F51" i="1"/>
  <c r="G51" i="1"/>
  <c r="H51" i="1"/>
  <c r="I51" i="1"/>
  <c r="E52" i="1"/>
  <c r="F52" i="1"/>
  <c r="G52" i="1"/>
  <c r="H52" i="1"/>
  <c r="I52" i="1"/>
  <c r="E53" i="1"/>
  <c r="F53" i="1"/>
  <c r="G53" i="1"/>
  <c r="H53" i="1"/>
  <c r="I53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I15" i="1"/>
  <c r="H15" i="1"/>
  <c r="G15" i="1"/>
  <c r="F15" i="1"/>
  <c r="I14" i="1"/>
  <c r="H14" i="1"/>
  <c r="G14" i="1"/>
  <c r="F14" i="1"/>
  <c r="I13" i="1"/>
  <c r="H13" i="1"/>
  <c r="G13" i="1"/>
  <c r="F13" i="1"/>
  <c r="I12" i="1"/>
  <c r="H12" i="1"/>
  <c r="G12" i="1"/>
  <c r="F12" i="1"/>
  <c r="I11" i="1"/>
  <c r="H11" i="1"/>
  <c r="G11" i="1"/>
  <c r="F11" i="1"/>
  <c r="I10" i="1"/>
  <c r="H10" i="1"/>
  <c r="G10" i="1"/>
  <c r="F10" i="1"/>
  <c r="I9" i="1"/>
  <c r="H9" i="1"/>
  <c r="G9" i="1"/>
  <c r="F9" i="1"/>
  <c r="I8" i="1"/>
  <c r="H8" i="1"/>
  <c r="G8" i="1"/>
  <c r="F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8" i="1"/>
  <c r="F14" i="4" l="1"/>
  <c r="G13" i="4"/>
  <c r="J24" i="1"/>
  <c r="E5" i="3"/>
  <c r="K8" i="1"/>
  <c r="K10" i="1"/>
  <c r="K12" i="1"/>
  <c r="K18" i="1"/>
  <c r="J28" i="1"/>
  <c r="J27" i="1"/>
  <c r="J30" i="1"/>
  <c r="J26" i="1"/>
  <c r="J29" i="1"/>
  <c r="J25" i="1"/>
  <c r="K30" i="1"/>
  <c r="K29" i="1"/>
  <c r="K28" i="1"/>
  <c r="L28" i="1" s="1"/>
  <c r="K27" i="1"/>
  <c r="K26" i="1"/>
  <c r="K25" i="1"/>
  <c r="K24" i="1"/>
  <c r="K13" i="1"/>
  <c r="J14" i="1"/>
  <c r="K19" i="1"/>
  <c r="K20" i="1"/>
  <c r="K21" i="1"/>
  <c r="J10" i="1"/>
  <c r="K11" i="1"/>
  <c r="J12" i="1"/>
  <c r="K14" i="1"/>
  <c r="J15" i="1"/>
  <c r="K16" i="1"/>
  <c r="K9" i="1"/>
  <c r="K17" i="1"/>
  <c r="J18" i="1"/>
  <c r="K23" i="1"/>
  <c r="J8" i="1"/>
  <c r="L8" i="1" s="1"/>
  <c r="J9" i="1"/>
  <c r="K15" i="1"/>
  <c r="J16" i="1"/>
  <c r="L16" i="1" s="1"/>
  <c r="J17" i="1"/>
  <c r="J11" i="1"/>
  <c r="J19" i="1"/>
  <c r="J21" i="1"/>
  <c r="J13" i="1"/>
  <c r="K22" i="1"/>
  <c r="J20" i="1"/>
  <c r="J22" i="1"/>
  <c r="J23" i="1"/>
  <c r="I54" i="1"/>
  <c r="H54" i="1"/>
  <c r="G54" i="1"/>
  <c r="I67" i="1"/>
  <c r="H67" i="1"/>
  <c r="G67" i="1"/>
  <c r="F15" i="4" l="1"/>
  <c r="G14" i="4"/>
  <c r="L22" i="1"/>
  <c r="L21" i="1"/>
  <c r="L13" i="1"/>
  <c r="L17" i="1"/>
  <c r="L9" i="1"/>
  <c r="L19" i="1"/>
  <c r="L18" i="1"/>
  <c r="L15" i="1"/>
  <c r="L14" i="1"/>
  <c r="L30" i="1"/>
  <c r="L26" i="1"/>
  <c r="L12" i="1"/>
  <c r="L25" i="1"/>
  <c r="L27" i="1"/>
  <c r="L10" i="1"/>
  <c r="L23" i="1"/>
  <c r="L20" i="1"/>
  <c r="L24" i="1"/>
  <c r="L29" i="1"/>
  <c r="K38" i="1"/>
  <c r="K53" i="1"/>
  <c r="K39" i="1"/>
  <c r="J53" i="1"/>
  <c r="K41" i="1"/>
  <c r="J37" i="1"/>
  <c r="K42" i="1"/>
  <c r="J35" i="1"/>
  <c r="K46" i="1"/>
  <c r="J39" i="1"/>
  <c r="J40" i="1"/>
  <c r="J49" i="1"/>
  <c r="K31" i="1"/>
  <c r="K33" i="1"/>
  <c r="K49" i="1"/>
  <c r="J46" i="1"/>
  <c r="J32" i="1"/>
  <c r="K47" i="1"/>
  <c r="J42" i="1"/>
  <c r="K34" i="1"/>
  <c r="K50" i="1"/>
  <c r="J36" i="1"/>
  <c r="J48" i="1"/>
  <c r="K35" i="1"/>
  <c r="K43" i="1"/>
  <c r="K51" i="1"/>
  <c r="J52" i="1"/>
  <c r="J43" i="1"/>
  <c r="K36" i="1"/>
  <c r="K44" i="1"/>
  <c r="K52" i="1"/>
  <c r="J34" i="1"/>
  <c r="J41" i="1"/>
  <c r="L41" i="1" s="1"/>
  <c r="J47" i="1"/>
  <c r="L47" i="1" s="1"/>
  <c r="K37" i="1"/>
  <c r="K45" i="1"/>
  <c r="J38" i="1"/>
  <c r="J45" i="1"/>
  <c r="J51" i="1"/>
  <c r="K32" i="1"/>
  <c r="K40" i="1"/>
  <c r="K48" i="1"/>
  <c r="J33" i="1"/>
  <c r="J50" i="1"/>
  <c r="J31" i="1"/>
  <c r="L31" i="1" s="1"/>
  <c r="J44" i="1"/>
  <c r="L44" i="1" s="1"/>
  <c r="E6" i="3"/>
  <c r="K54" i="1"/>
  <c r="J54" i="1"/>
  <c r="L54" i="1" s="1"/>
  <c r="K67" i="1"/>
  <c r="J67" i="1"/>
  <c r="I131" i="1"/>
  <c r="H131" i="1"/>
  <c r="G131" i="1"/>
  <c r="F131" i="1"/>
  <c r="L53" i="1" l="1"/>
  <c r="L42" i="1"/>
  <c r="L34" i="1"/>
  <c r="L38" i="1"/>
  <c r="F16" i="4"/>
  <c r="G16" i="4" s="1"/>
  <c r="G15" i="4"/>
  <c r="G17" i="4" s="1"/>
  <c r="L50" i="1"/>
  <c r="L43" i="1"/>
  <c r="L46" i="1"/>
  <c r="L67" i="1"/>
  <c r="L51" i="1"/>
  <c r="L33" i="1"/>
  <c r="L49" i="1"/>
  <c r="L39" i="1"/>
  <c r="L35" i="1"/>
  <c r="L32" i="1"/>
  <c r="L52" i="1"/>
  <c r="L48" i="1"/>
  <c r="L40" i="1"/>
  <c r="L45" i="1"/>
  <c r="L36" i="1"/>
  <c r="L37" i="1"/>
  <c r="E7" i="3"/>
  <c r="K131" i="1"/>
  <c r="J131" i="1"/>
  <c r="C3" i="2"/>
  <c r="C20" i="2" s="1"/>
  <c r="B26" i="2"/>
  <c r="B27" i="2" s="1"/>
  <c r="L131" i="1" l="1"/>
  <c r="C26" i="2"/>
  <c r="C27" i="2" s="1"/>
  <c r="C28" i="2" s="1"/>
  <c r="C29" i="2" s="1"/>
  <c r="C30" i="2" s="1"/>
  <c r="C31" i="2" s="1"/>
  <c r="C32" i="2" s="1"/>
  <c r="C33" i="2" s="1"/>
  <c r="D3" i="2"/>
  <c r="E3" i="2" s="1"/>
  <c r="F3" i="2" s="1"/>
  <c r="G3" i="2" s="1"/>
  <c r="J3" i="2" s="1"/>
  <c r="K3" i="2" s="1"/>
  <c r="L3" i="2" s="1"/>
  <c r="E8" i="3"/>
  <c r="B28" i="2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l="1"/>
  <c r="B40" i="2" s="1"/>
  <c r="B41" i="2" s="1"/>
  <c r="B42" i="2" s="1"/>
  <c r="D20" i="2"/>
  <c r="E9" i="3"/>
  <c r="E1" i="2"/>
  <c r="E2" i="2" s="1"/>
  <c r="D26" i="2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C34" i="2"/>
  <c r="C35" i="2" s="1"/>
  <c r="C36" i="2" s="1"/>
  <c r="C37" i="2" s="1"/>
  <c r="C38" i="2" s="1"/>
  <c r="G55" i="1"/>
  <c r="G102" i="1"/>
  <c r="G2" i="1"/>
  <c r="B43" i="2" l="1"/>
  <c r="D39" i="2"/>
  <c r="D40" i="2" s="1"/>
  <c r="D41" i="2" s="1"/>
  <c r="D42" i="2" s="1"/>
  <c r="C39" i="2"/>
  <c r="C40" i="2" s="1"/>
  <c r="C41" i="2" s="1"/>
  <c r="C42" i="2" s="1"/>
  <c r="E20" i="2"/>
  <c r="E10" i="3"/>
  <c r="F1" i="2"/>
  <c r="F2" i="2" s="1"/>
  <c r="E26" i="2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I7" i="1"/>
  <c r="I4" i="1"/>
  <c r="I5" i="1"/>
  <c r="I2" i="1"/>
  <c r="I3" i="1"/>
  <c r="I55" i="1"/>
  <c r="I102" i="1"/>
  <c r="I6" i="1"/>
  <c r="C43" i="2" l="1"/>
  <c r="D43" i="2"/>
  <c r="E39" i="2"/>
  <c r="E40" i="2" s="1"/>
  <c r="E41" i="2" s="1"/>
  <c r="E42" i="2" s="1"/>
  <c r="F20" i="2"/>
  <c r="E11" i="3"/>
  <c r="G1" i="2"/>
  <c r="G2" i="2" s="1"/>
  <c r="F26" i="2"/>
  <c r="H102" i="1"/>
  <c r="J102" i="1" l="1"/>
  <c r="E43" i="2"/>
  <c r="G20" i="2"/>
  <c r="E12" i="3"/>
  <c r="H1" i="2"/>
  <c r="H2" i="2" s="1"/>
  <c r="G26" i="2"/>
  <c r="F27" i="2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H55" i="1"/>
  <c r="H3" i="1"/>
  <c r="F3" i="1"/>
  <c r="H2" i="1"/>
  <c r="E2" i="1" s="1"/>
  <c r="F2" i="1"/>
  <c r="H5" i="1"/>
  <c r="F5" i="1"/>
  <c r="H4" i="1"/>
  <c r="F4" i="1"/>
  <c r="H7" i="1"/>
  <c r="H6" i="1"/>
  <c r="E6" i="1" s="1"/>
  <c r="F39" i="2" l="1"/>
  <c r="F40" i="2" s="1"/>
  <c r="F41" i="2" s="1"/>
  <c r="F42" i="2" s="1"/>
  <c r="H20" i="2"/>
  <c r="E14" i="3"/>
  <c r="E13" i="3"/>
  <c r="I1" i="2"/>
  <c r="I2" i="2" s="1"/>
  <c r="G27" i="2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H26" i="2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B7" i="1"/>
  <c r="B6" i="1"/>
  <c r="B4" i="1"/>
  <c r="B2" i="1"/>
  <c r="L11" i="1" s="1"/>
  <c r="B3" i="1"/>
  <c r="B5" i="1"/>
  <c r="E4" i="1"/>
  <c r="K6" i="1" l="1"/>
  <c r="F43" i="2"/>
  <c r="G39" i="2"/>
  <c r="G40" i="2" s="1"/>
  <c r="G41" i="2" s="1"/>
  <c r="G42" i="2" s="1"/>
  <c r="H39" i="2"/>
  <c r="H40" i="2" s="1"/>
  <c r="H41" i="2" s="1"/>
  <c r="H42" i="2" s="1"/>
  <c r="I20" i="2"/>
  <c r="E15" i="3"/>
  <c r="J2" i="1"/>
  <c r="J1" i="2"/>
  <c r="J2" i="2" s="1"/>
  <c r="I26" i="2"/>
  <c r="K4" i="1"/>
  <c r="K7" i="1"/>
  <c r="J7" i="1"/>
  <c r="J6" i="1"/>
  <c r="L6" i="1" s="1"/>
  <c r="J4" i="1"/>
  <c r="L4" i="1" s="1"/>
  <c r="K3" i="1"/>
  <c r="J3" i="1"/>
  <c r="K5" i="1"/>
  <c r="K2" i="1"/>
  <c r="J5" i="1"/>
  <c r="L5" i="1" l="1"/>
  <c r="L3" i="1"/>
  <c r="L7" i="1"/>
  <c r="H43" i="2"/>
  <c r="G43" i="2"/>
  <c r="L2" i="1"/>
  <c r="J20" i="2"/>
  <c r="K1" i="2"/>
  <c r="K2" i="2" s="1"/>
  <c r="J26" i="2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I27" i="2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l="1"/>
  <c r="I40" i="2" s="1"/>
  <c r="I41" i="2" s="1"/>
  <c r="I42" i="2" s="1"/>
  <c r="J39" i="2"/>
  <c r="J40" i="2" s="1"/>
  <c r="J41" i="2" s="1"/>
  <c r="J42" i="2" s="1"/>
  <c r="L20" i="2"/>
  <c r="K20" i="2"/>
  <c r="L1" i="2"/>
  <c r="K26" i="2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55" i="1"/>
  <c r="J55" i="1"/>
  <c r="L55" i="1" s="1"/>
  <c r="J43" i="2" l="1"/>
  <c r="K39" i="2"/>
  <c r="K40" i="2" s="1"/>
  <c r="K41" i="2" s="1"/>
  <c r="K42" i="2" s="1"/>
  <c r="I43" i="2"/>
  <c r="L26" i="2"/>
  <c r="K102" i="1"/>
  <c r="L102" i="1" s="1"/>
  <c r="K43" i="2" l="1"/>
  <c r="L27" i="2"/>
  <c r="L28" i="2" l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l="1"/>
  <c r="L41" i="2" s="1"/>
  <c r="L42" i="2" s="1"/>
  <c r="L43" i="2" l="1"/>
</calcChain>
</file>

<file path=xl/sharedStrings.xml><?xml version="1.0" encoding="utf-8"?>
<sst xmlns="http://schemas.openxmlformats.org/spreadsheetml/2006/main" count="188" uniqueCount="53">
  <si>
    <t>Z index</t>
  </si>
  <si>
    <t>alpha</t>
  </si>
  <si>
    <t>height</t>
  </si>
  <si>
    <t>X pos</t>
  </si>
  <si>
    <t>texture</t>
  </si>
  <si>
    <t>cloud_1</t>
  </si>
  <si>
    <t>Z  dist</t>
  </si>
  <si>
    <t>X</t>
  </si>
  <si>
    <t>cloud_2</t>
  </si>
  <si>
    <t>size</t>
  </si>
  <si>
    <t>Top_vis</t>
  </si>
  <si>
    <t>Bot_vis</t>
  </si>
  <si>
    <t>Obj</t>
  </si>
  <si>
    <t>ID</t>
  </si>
  <si>
    <t>ground</t>
  </si>
  <si>
    <t>mountains</t>
  </si>
  <si>
    <t>city</t>
  </si>
  <si>
    <t>exp</t>
  </si>
  <si>
    <t>true height</t>
  </si>
  <si>
    <t>big_planet</t>
  </si>
  <si>
    <t>aster0</t>
  </si>
  <si>
    <t>aster1</t>
  </si>
  <si>
    <t>aster2</t>
  </si>
  <si>
    <t>scale</t>
  </si>
  <si>
    <t>fuel</t>
  </si>
  <si>
    <t>aster</t>
  </si>
  <si>
    <t>plane</t>
  </si>
  <si>
    <t>emp</t>
  </si>
  <si>
    <t>ufo</t>
  </si>
  <si>
    <t>big_ship</t>
  </si>
  <si>
    <t>airship</t>
  </si>
  <si>
    <t>FROM</t>
  </si>
  <si>
    <t>TO</t>
  </si>
  <si>
    <t>iss</t>
  </si>
  <si>
    <t>satellite</t>
  </si>
  <si>
    <t>saturn</t>
  </si>
  <si>
    <t>helicopter</t>
  </si>
  <si>
    <t>alienrocket</t>
  </si>
  <si>
    <t>star_dust</t>
  </si>
  <si>
    <t>arrow</t>
  </si>
  <si>
    <t>fuel,</t>
  </si>
  <si>
    <t>strenght,</t>
  </si>
  <si>
    <t>maneur,</t>
  </si>
  <si>
    <t>speed</t>
  </si>
  <si>
    <t>cloud</t>
  </si>
  <si>
    <t>space_ship_2</t>
  </si>
  <si>
    <t>ufo_2</t>
  </si>
  <si>
    <t>space_ship_3</t>
  </si>
  <si>
    <t>ufo_3</t>
  </si>
  <si>
    <t>big_black_hole</t>
  </si>
  <si>
    <t>belt_0</t>
  </si>
  <si>
    <t>belt_1</t>
  </si>
  <si>
    <t>belt_2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</si>
</sst>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164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2" fontId="0" fillId="0" borderId="0" xfId="0" applyNumberFormat="1"/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center"/>
    </xf>
    <xf numFmtId="0" fontId="2" fillId="0" borderId="0" xfId="0" applyFont="1" applyBorder="1" applyAlignment="1">
      <alignment horizontal="left"/>
    </xf>
    <xf numFmtId="1" fontId="2" fillId="0" borderId="0" xfId="0" applyNumberFormat="1" applyFont="1" applyBorder="1" applyAlignment="1">
      <alignment horizontal="left"/>
    </xf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</xdr:colOff>
      <xdr:row>1</xdr:row>
      <xdr:rowOff>1</xdr:rowOff>
    </xdr:from>
    <xdr:to>
      <xdr:col>18</xdr:col>
      <xdr:colOff>1</xdr:colOff>
      <xdr:row>3</xdr:row>
      <xdr:rowOff>1</xdr:rowOff>
    </xdr:to>
    <xdr:sp macro="[0]!ЭтаКнига.akuu" textlink="">
      <xdr:nvSpPr>
        <xdr:cNvPr id="2" name="Скругленный прямоугольник 1"/>
        <xdr:cNvSpPr/>
      </xdr:nvSpPr>
      <xdr:spPr>
        <a:xfrm>
          <a:off x="9182101" y="190501"/>
          <a:ext cx="24384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ВЫГРУЗИТЬ</a:t>
          </a:r>
          <a:r>
            <a:rPr lang="ru-RU" sz="1100" baseline="0"/>
            <a:t> ПРОГРАММУ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12</xdr:col>
      <xdr:colOff>0</xdr:colOff>
      <xdr:row>23</xdr:row>
      <xdr:rowOff>0</xdr:rowOff>
    </xdr:to>
    <xdr:sp macro="[0]!ЭтаКнига.save_probability_table" textlink="">
      <xdr:nvSpPr>
        <xdr:cNvPr id="2" name="Скругленный прямоугольник 1"/>
        <xdr:cNvSpPr/>
      </xdr:nvSpPr>
      <xdr:spPr>
        <a:xfrm>
          <a:off x="495300" y="3810000"/>
          <a:ext cx="54483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SAVE PROBABILITY TABLE</a:t>
          </a:r>
          <a:endParaRPr lang="ru-RU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17</xdr:row>
      <xdr:rowOff>161925</xdr:rowOff>
    </xdr:from>
    <xdr:to>
      <xdr:col>13</xdr:col>
      <xdr:colOff>209550</xdr:colOff>
      <xdr:row>19</xdr:row>
      <xdr:rowOff>161925</xdr:rowOff>
    </xdr:to>
    <xdr:sp macro="[0]!ЭтаКнига.save_rocketupgrades_table" textlink="">
      <xdr:nvSpPr>
        <xdr:cNvPr id="2" name="Скругленный прямоугольник 1"/>
        <xdr:cNvSpPr/>
      </xdr:nvSpPr>
      <xdr:spPr>
        <a:xfrm>
          <a:off x="2790825" y="3400425"/>
          <a:ext cx="5343525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SAVE ROCKET UPDATES</a:t>
          </a:r>
          <a:endParaRPr lang="ru-RU" sz="1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21</xdr:row>
      <xdr:rowOff>0</xdr:rowOff>
    </xdr:from>
    <xdr:to>
      <xdr:col>12</xdr:col>
      <xdr:colOff>219075</xdr:colOff>
      <xdr:row>23</xdr:row>
      <xdr:rowOff>0</xdr:rowOff>
    </xdr:to>
    <xdr:sp macro="[0]!ЭтаКнига.save_rockes_params" textlink="">
      <xdr:nvSpPr>
        <xdr:cNvPr id="2" name="Скругленный прямоугольник 1"/>
        <xdr:cNvSpPr/>
      </xdr:nvSpPr>
      <xdr:spPr>
        <a:xfrm>
          <a:off x="3657600" y="4000500"/>
          <a:ext cx="5343525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SAVE ROCKET UPDATES</a:t>
          </a:r>
          <a:endParaRPr lang="ru-RU" sz="18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T319"/>
  <sheetViews>
    <sheetView zoomScale="85" zoomScaleNormal="85" workbookViewId="0">
      <selection activeCell="U19" sqref="U19"/>
    </sheetView>
  </sheetViews>
  <sheetFormatPr defaultRowHeight="15" x14ac:dyDescent="0.25"/>
  <cols>
    <col min="1" max="1" width="9.140625" style="3"/>
    <col min="2" max="2" width="14" style="13" customWidth="1"/>
    <col min="3" max="3" width="13" style="13" customWidth="1"/>
    <col min="4" max="11" width="9.140625" style="13"/>
    <col min="12" max="12" width="28" style="3" customWidth="1"/>
    <col min="13" max="19" width="9.140625" style="1"/>
  </cols>
  <sheetData>
    <row r="1" spans="1:20" x14ac:dyDescent="0.25">
      <c r="A1" s="6" t="s">
        <v>13</v>
      </c>
      <c r="B1" s="12" t="s">
        <v>18</v>
      </c>
      <c r="C1" s="12" t="s">
        <v>4</v>
      </c>
      <c r="D1" s="12" t="s">
        <v>0</v>
      </c>
      <c r="E1" s="12" t="s">
        <v>3</v>
      </c>
      <c r="F1" s="12" t="s">
        <v>1</v>
      </c>
      <c r="G1" s="12" t="s">
        <v>23</v>
      </c>
      <c r="H1" s="12" t="s">
        <v>6</v>
      </c>
      <c r="I1" s="12" t="s">
        <v>9</v>
      </c>
      <c r="J1" s="12" t="s">
        <v>10</v>
      </c>
      <c r="K1" s="12" t="s">
        <v>11</v>
      </c>
      <c r="L1" s="2" t="s">
        <v>7</v>
      </c>
    </row>
    <row r="2" spans="1:20" x14ac:dyDescent="0.25">
      <c r="A2" s="3">
        <v>0</v>
      </c>
      <c r="B2" s="13">
        <f>(600+2*TAN(PI()*20/180)*H2)*I2/600+(0-300-TAN(PI()*20/180)*H2)</f>
        <v>-1059.9255856655059</v>
      </c>
      <c r="C2" s="13" t="s">
        <v>15</v>
      </c>
      <c r="D2" s="13">
        <v>1</v>
      </c>
      <c r="E2" s="13">
        <f>-(800+2*TAN(PI()*20/180)*H2)</f>
        <v>-4439.7023426620235</v>
      </c>
      <c r="F2" s="15">
        <f>SUMIF($Q$6:$Q$10,D2,$R$6:$R$10)</f>
        <v>1</v>
      </c>
      <c r="G2" s="15">
        <f>SUMIF($Q$6:$Q$10,D2,$T$6:$T$10)</f>
        <v>1</v>
      </c>
      <c r="H2" s="15">
        <f>SUMIF($Q$6:$Q$10,D2,$S$6:$S$10)</f>
        <v>5000</v>
      </c>
      <c r="I2" s="15">
        <f>SUMIF($Q$14:$Q$31,C2,$R$14:$R$31)/2</f>
        <v>150</v>
      </c>
      <c r="J2" s="16">
        <f>ROUND(300+TAN(PI()*20/180)*H2+(600*B2-(600+I2)*(600+2*TAN(PI()*20/180)*H2))/600,3)</f>
        <v>-4239.7020000000002</v>
      </c>
      <c r="K2" s="16">
        <f>ROUND(B2+300+TAN(PI()*20/180)*H2+I2*(2*TAN(PI()*20/180)*H2+600)/600,3)</f>
        <v>2119.8510000000001</v>
      </c>
      <c r="L2" s="3" t="str">
        <f>IF(B3&lt;&gt;"","["&amp;B2&amp;","""&amp;C2&amp;""","&amp;D2&amp;","&amp;E2&amp;","&amp;F2&amp;","&amp;G2&amp;","&amp;H2&amp;","&amp;J2&amp;","&amp;K2&amp;"]","["&amp;B2&amp;","""&amp;C2&amp;""","&amp;D2&amp;","&amp;E2&amp;","&amp;F2&amp;","&amp;G2&amp;","&amp;H2&amp;","&amp;J2&amp;","&amp;K2&amp;"]")</f>
        <v>[-1059.92558566551,"mountains",1,-4439.70234266202,1,1,5000,-4239.702,2119.851]</v>
      </c>
    </row>
    <row r="3" spans="1:20" x14ac:dyDescent="0.25">
      <c r="A3" s="3">
        <v>1</v>
      </c>
      <c r="B3" s="13">
        <f>(600+2*TAN(PI()*20/180)*H3)*I3/600+(0-300-TAN(PI()*20/180)*H3)</f>
        <v>-1059.9255856655059</v>
      </c>
      <c r="C3" s="13" t="s">
        <v>15</v>
      </c>
      <c r="D3" s="13">
        <v>1</v>
      </c>
      <c r="E3" s="13">
        <v>0</v>
      </c>
      <c r="F3" s="15">
        <f>SUMIF($Q$6:$Q$10,D3,$R$6:$R$10)</f>
        <v>1</v>
      </c>
      <c r="G3" s="15">
        <v>1</v>
      </c>
      <c r="H3" s="15">
        <f>SUMIF($Q$6:$Q$10,D3,$S$6:$S$10)</f>
        <v>5000</v>
      </c>
      <c r="I3" s="15">
        <f>SUMIF($Q$14:$Q$31,C3,$R$14:$R$31)/2</f>
        <v>150</v>
      </c>
      <c r="J3" s="16">
        <f>ROUND(300+TAN(PI()*20/180)*H3+(600*B3-(600+I3)*(600+2*TAN(PI()*20/180)*H3))/600,3)</f>
        <v>-4239.7020000000002</v>
      </c>
      <c r="K3" s="16">
        <f>ROUND(B3+300+TAN(PI()*20/180)*H3+I3*(2*TAN(PI()*20/180)*H3+600)/600,3)</f>
        <v>2119.8510000000001</v>
      </c>
      <c r="L3" s="3" t="str">
        <f>IF(B4&lt;&gt;"","["&amp;B3&amp;","""&amp;C3&amp;""","&amp;D3&amp;","&amp;E3&amp;","&amp;F3&amp;","&amp;G3&amp;","&amp;H3&amp;","&amp;J3&amp;","&amp;K3&amp;"]","["&amp;B3&amp;","""&amp;C3&amp;""","&amp;D3&amp;","&amp;E3&amp;","&amp;F3&amp;","&amp;G3&amp;","&amp;H3&amp;","&amp;J3&amp;","&amp;K3&amp;"]")</f>
        <v>[-1059.92558566551,"mountains",1,0,1,1,5000,-4239.702,2119.851]</v>
      </c>
    </row>
    <row r="4" spans="1:20" x14ac:dyDescent="0.25">
      <c r="A4" s="3">
        <v>2</v>
      </c>
      <c r="B4" s="13">
        <f>(600+2*TAN(PI()*20/180)*H4)*I4/600+(0-300-TAN(PI()*20/180)*H4)</f>
        <v>-422.97767569965174</v>
      </c>
      <c r="C4" s="13" t="s">
        <v>16</v>
      </c>
      <c r="D4" s="13">
        <v>2</v>
      </c>
      <c r="E4" s="13">
        <f>-(800+2*TAN(PI()*20/180)*H4)</f>
        <v>-1891.910702798607</v>
      </c>
      <c r="F4" s="15">
        <f>SUMIF($Q$6:$Q$10,D4,$R$6:$R$10)</f>
        <v>1</v>
      </c>
      <c r="G4" s="15">
        <v>1</v>
      </c>
      <c r="H4" s="15">
        <f>SUMIF($Q$6:$Q$10,D4,$S$6:$S$10)</f>
        <v>1500</v>
      </c>
      <c r="I4" s="15">
        <f>SUMIF($Q$14:$Q$31,C4,$R$14:$R$31)/2</f>
        <v>150</v>
      </c>
      <c r="J4" s="16">
        <f>ROUND(300+TAN(PI()*20/180)*H4+(600*B4-(600+I4)*(600+2*TAN(PI()*20/180)*H4))/600,3)</f>
        <v>-1691.9110000000001</v>
      </c>
      <c r="K4" s="16">
        <f>ROUND(B4+300+TAN(PI()*20/180)*H4+I4*(2*TAN(PI()*20/180)*H4+600)/600,3)</f>
        <v>845.95500000000004</v>
      </c>
      <c r="L4" s="3" t="str">
        <f>IF(B5&lt;&gt;"","["&amp;B4&amp;","""&amp;C4&amp;""","&amp;D4&amp;","&amp;E4&amp;","&amp;F4&amp;","&amp;G4&amp;","&amp;H4&amp;","&amp;J4&amp;","&amp;K4&amp;"]","["&amp;B4&amp;","""&amp;C4&amp;""","&amp;D4&amp;","&amp;E4&amp;","&amp;F4&amp;","&amp;G4&amp;","&amp;H4&amp;","&amp;J4&amp;","&amp;K4&amp;"]")</f>
        <v>[-422.977675699652,"city",2,-1891.91070279861,1,1,1500,-1691.911,845.955]</v>
      </c>
    </row>
    <row r="5" spans="1:20" x14ac:dyDescent="0.25">
      <c r="A5" s="3">
        <v>3</v>
      </c>
      <c r="B5" s="13">
        <f>(600+2*TAN(PI()*20/180)*H5)*I5/600+(0-300-TAN(PI()*20/180)*H5)</f>
        <v>-422.97767569965174</v>
      </c>
      <c r="C5" s="13" t="s">
        <v>16</v>
      </c>
      <c r="D5" s="13">
        <v>2</v>
      </c>
      <c r="E5" s="13">
        <v>0</v>
      </c>
      <c r="F5" s="15">
        <f>SUMIF($Q$6:$Q$10,D5,$R$6:$R$10)</f>
        <v>1</v>
      </c>
      <c r="G5" s="15">
        <v>1</v>
      </c>
      <c r="H5" s="15">
        <f>SUMIF($Q$6:$Q$10,D5,$S$6:$S$10)</f>
        <v>1500</v>
      </c>
      <c r="I5" s="15">
        <f>SUMIF($Q$14:$Q$31,C5,$R$14:$R$31)/2</f>
        <v>150</v>
      </c>
      <c r="J5" s="16">
        <f>ROUND(300+TAN(PI()*20/180)*H5+(600*B5-(600+I5)*(600+2*TAN(PI()*20/180)*H5))/600,3)</f>
        <v>-1691.9110000000001</v>
      </c>
      <c r="K5" s="16">
        <f>ROUND(B5+300+TAN(PI()*20/180)*H5+I5*(2*TAN(PI()*20/180)*H5+600)/600,3)</f>
        <v>845.95500000000004</v>
      </c>
      <c r="L5" s="3" t="str">
        <f>IF(B6&lt;&gt;"","["&amp;B5&amp;","""&amp;C5&amp;""","&amp;D5&amp;","&amp;E5&amp;","&amp;F5&amp;","&amp;G5&amp;","&amp;H5&amp;","&amp;J5&amp;","&amp;K5&amp;"]","["&amp;B5&amp;","""&amp;C5&amp;""","&amp;D5&amp;","&amp;E5&amp;","&amp;F5&amp;","&amp;G5&amp;","&amp;H5&amp;","&amp;J5&amp;","&amp;K5&amp;"]")</f>
        <v>[-422.977675699652,"city",2,0,1,1,1500,-1691.911,845.955]</v>
      </c>
      <c r="Q5" s="4" t="s">
        <v>0</v>
      </c>
      <c r="R5" s="4" t="s">
        <v>1</v>
      </c>
      <c r="S5" s="4" t="s">
        <v>6</v>
      </c>
      <c r="T5" s="4" t="s">
        <v>23</v>
      </c>
    </row>
    <row r="6" spans="1:20" x14ac:dyDescent="0.25">
      <c r="A6" s="3">
        <v>4</v>
      </c>
      <c r="B6" s="13">
        <f>(600+2*TAN(PI()*20/180)*H6)*I6/600+(0-300-TAN(PI()*20/180)*H6)</f>
        <v>-401.65426427758433</v>
      </c>
      <c r="C6" s="13" t="s">
        <v>14</v>
      </c>
      <c r="D6" s="13">
        <v>3</v>
      </c>
      <c r="E6" s="13">
        <f>-(800+2*TAN(PI()*20/180)*H6)</f>
        <v>-1163.9702342662024</v>
      </c>
      <c r="F6" s="15">
        <v>1</v>
      </c>
      <c r="G6" s="15">
        <v>1</v>
      </c>
      <c r="H6" s="15">
        <f>SUMIF($Q$6:$Q$10,D6,$S$6:$S$10)</f>
        <v>500</v>
      </c>
      <c r="I6" s="15">
        <f>SUMIF($Q$14:$Q$31,C6,$R$14:$R$31)/2</f>
        <v>50</v>
      </c>
      <c r="J6" s="16">
        <f>ROUND(300+TAN(PI()*20/180)*H6+(600*B6-(600+I6)*(600+2*TAN(PI()*20/180)*H6))/600,3)</f>
        <v>-963.97</v>
      </c>
      <c r="K6" s="16">
        <f>ROUND(B6+300+TAN(PI()*20/180)*H6+I6*(2*TAN(PI()*20/180)*H6+600)/600,3)</f>
        <v>160.66200000000001</v>
      </c>
      <c r="L6" s="3" t="str">
        <f>IF(B7&lt;&gt;"","["&amp;B6&amp;","""&amp;C6&amp;""","&amp;D6&amp;","&amp;E6&amp;","&amp;F6&amp;","&amp;G6&amp;","&amp;H6&amp;","&amp;J6&amp;","&amp;K6&amp;"]","["&amp;B6&amp;","""&amp;C6&amp;""","&amp;D6&amp;","&amp;E6&amp;","&amp;F6&amp;","&amp;G6&amp;","&amp;H6&amp;","&amp;J6&amp;","&amp;K6&amp;"]")</f>
        <v>[-401.654264277584,"ground",3,-1163.9702342662,1,1,500,-963.97,160.662]</v>
      </c>
      <c r="Q6" s="5">
        <v>4</v>
      </c>
      <c r="R6" s="5">
        <v>1</v>
      </c>
      <c r="S6" s="5">
        <v>0</v>
      </c>
      <c r="T6" s="5">
        <v>1</v>
      </c>
    </row>
    <row r="7" spans="1:20" x14ac:dyDescent="0.25">
      <c r="A7" s="3">
        <v>5</v>
      </c>
      <c r="B7" s="13">
        <f>(600+2*TAN(PI()*20/180)*H7)*I7/600+(0-300-TAN(PI()*20/180)*H7)</f>
        <v>-401.65426427758433</v>
      </c>
      <c r="C7" s="13" t="s">
        <v>14</v>
      </c>
      <c r="D7" s="13">
        <v>3</v>
      </c>
      <c r="E7" s="13">
        <v>0</v>
      </c>
      <c r="F7" s="15">
        <v>1</v>
      </c>
      <c r="G7" s="15">
        <v>1</v>
      </c>
      <c r="H7" s="15">
        <f>SUMIF($Q$6:$Q$10,D7,$S$6:$S$10)</f>
        <v>500</v>
      </c>
      <c r="I7" s="15">
        <f>SUMIF($Q$14:$Q$31,C7,$R$14:$R$31)/2</f>
        <v>50</v>
      </c>
      <c r="J7" s="16">
        <f>ROUND(300+TAN(PI()*20/180)*H7+(600*B7-(600+I7)*(600+2*TAN(PI()*20/180)*H7))/600,3)</f>
        <v>-963.97</v>
      </c>
      <c r="K7" s="16">
        <f>ROUND(B7+300+TAN(PI()*20/180)*H7+I7*(2*TAN(PI()*20/180)*H7+600)/600,3)</f>
        <v>160.66200000000001</v>
      </c>
      <c r="L7" s="3" t="str">
        <f>IF(B8&lt;&gt;"","["&amp;B7&amp;","""&amp;C7&amp;""","&amp;D7&amp;","&amp;E7&amp;","&amp;F7&amp;","&amp;G7&amp;","&amp;H7&amp;","&amp;J7&amp;","&amp;K7&amp;"]","["&amp;B7&amp;","""&amp;C7&amp;""","&amp;D7&amp;","&amp;E7&amp;","&amp;F7&amp;","&amp;G7&amp;","&amp;H7&amp;","&amp;J7&amp;","&amp;K7&amp;"]")</f>
        <v>[-401.654264277584,"ground",3,0,1,1,500,-963.97,160.662]</v>
      </c>
      <c r="Q7" s="5">
        <v>3</v>
      </c>
      <c r="R7" s="5">
        <v>0.5</v>
      </c>
      <c r="S7" s="5">
        <v>500</v>
      </c>
      <c r="T7" s="5">
        <v>0.5</v>
      </c>
    </row>
    <row r="8" spans="1:20" x14ac:dyDescent="0.25">
      <c r="A8" s="3">
        <v>6</v>
      </c>
      <c r="B8" s="13">
        <v>1000</v>
      </c>
      <c r="C8" s="14" t="s">
        <v>8</v>
      </c>
      <c r="D8" s="13">
        <v>3</v>
      </c>
      <c r="E8" s="13">
        <f ca="1">RANDBETWEEN(0,800)</f>
        <v>195</v>
      </c>
      <c r="F8" s="15">
        <f>SUMIF($Q$6:$Q$10,D8,$R$6:$R$10)</f>
        <v>0.5</v>
      </c>
      <c r="G8" s="15">
        <f>SUMIF($Q$6:$Q$10,D8,$T$6:$T$10)</f>
        <v>0.5</v>
      </c>
      <c r="H8" s="15">
        <f>SUMIF($Q$6:$Q$10,D8,$S$6:$S$10)</f>
        <v>500</v>
      </c>
      <c r="I8" s="15">
        <f>SUMIF($Q$14:$Q$31,C8,$R$14:$R$31)/2</f>
        <v>70</v>
      </c>
      <c r="J8" s="16">
        <f>ROUND(300+TAN(PI()*20/180)*H8+(600*B8-(600+I8)*(600+2*TAN(PI()*20/180)*H8))/600,3)</f>
        <v>405.55200000000002</v>
      </c>
      <c r="K8" s="16">
        <f>ROUND(B8+300+TAN(PI()*20/180)*H8+I8*(2*TAN(PI()*20/180)*H8+600)/600,3)</f>
        <v>1594.4480000000001</v>
      </c>
      <c r="L8" s="3" t="str">
        <f ca="1">IF(B9&lt;&gt;"","["&amp;B8&amp;","""&amp;C8&amp;""","&amp;D8&amp;","&amp;E8&amp;","&amp;F8&amp;","&amp;G8&amp;","&amp;H8&amp;","&amp;J8&amp;","&amp;K8&amp;"]","["&amp;B8&amp;","""&amp;C8&amp;""","&amp;D8&amp;","&amp;E8&amp;","&amp;F8&amp;","&amp;G8&amp;","&amp;H8&amp;","&amp;J8&amp;","&amp;K8&amp;"]")</f>
        <v>[1000,"cloud_2",3,195,0.5,0.5,500,405.552,1594.448]</v>
      </c>
      <c r="Q8" s="5">
        <v>2</v>
      </c>
      <c r="R8" s="5">
        <v>1</v>
      </c>
      <c r="S8" s="5">
        <v>1500</v>
      </c>
      <c r="T8" s="5">
        <v>1</v>
      </c>
    </row>
    <row r="9" spans="1:20" x14ac:dyDescent="0.25">
      <c r="A9" s="3">
        <v>7</v>
      </c>
      <c r="B9" s="13">
        <v>1150</v>
      </c>
      <c r="C9" s="14" t="s">
        <v>8</v>
      </c>
      <c r="D9" s="13">
        <v>3</v>
      </c>
      <c r="E9" s="13">
        <f ca="1">RANDBETWEEN(0,800)</f>
        <v>657</v>
      </c>
      <c r="F9" s="15">
        <f>SUMIF($Q$6:$Q$10,D9,$R$6:$R$10)</f>
        <v>0.5</v>
      </c>
      <c r="G9" s="15">
        <f>SUMIF($Q$6:$Q$10,D9,$T$6:$T$10)</f>
        <v>0.5</v>
      </c>
      <c r="H9" s="15">
        <f>SUMIF($Q$6:$Q$10,D9,$S$6:$S$10)</f>
        <v>500</v>
      </c>
      <c r="I9" s="15">
        <f>SUMIF($Q$14:$Q$31,C9,$R$14:$R$31)/2</f>
        <v>70</v>
      </c>
      <c r="J9" s="16">
        <f>ROUND(300+TAN(PI()*20/180)*H9+(600*B9-(600+I9)*(600+2*TAN(PI()*20/180)*H9))/600,3)</f>
        <v>555.55200000000002</v>
      </c>
      <c r="K9" s="16">
        <f>ROUND(B9+300+TAN(PI()*20/180)*H9+I9*(2*TAN(PI()*20/180)*H9+600)/600,3)</f>
        <v>1744.4480000000001</v>
      </c>
      <c r="L9" s="3" t="str">
        <f ca="1">IF(B10&lt;&gt;"","["&amp;B9&amp;","""&amp;C9&amp;""","&amp;D9&amp;","&amp;E9&amp;","&amp;F9&amp;","&amp;G9&amp;","&amp;H9&amp;","&amp;J9&amp;","&amp;K9&amp;"]","["&amp;B9&amp;","""&amp;C9&amp;""","&amp;D9&amp;","&amp;E9&amp;","&amp;F9&amp;","&amp;G9&amp;","&amp;H9&amp;","&amp;J9&amp;","&amp;K9&amp;"]")</f>
        <v>[1150,"cloud_2",3,657,0.5,0.5,500,555.552,1744.448]</v>
      </c>
      <c r="Q9" s="5">
        <v>1</v>
      </c>
      <c r="R9" s="5">
        <v>1</v>
      </c>
      <c r="S9" s="5">
        <v>5000</v>
      </c>
      <c r="T9" s="5">
        <v>1</v>
      </c>
    </row>
    <row r="10" spans="1:20" x14ac:dyDescent="0.25">
      <c r="A10" s="3">
        <v>8</v>
      </c>
      <c r="B10" s="13">
        <v>1300</v>
      </c>
      <c r="C10" s="14" t="s">
        <v>8</v>
      </c>
      <c r="D10" s="13">
        <v>3</v>
      </c>
      <c r="E10" s="13">
        <f ca="1">RANDBETWEEN(0,800)</f>
        <v>269</v>
      </c>
      <c r="F10" s="15">
        <f>SUMIF($Q$6:$Q$10,D10,$R$6:$R$10)</f>
        <v>0.5</v>
      </c>
      <c r="G10" s="15">
        <f>SUMIF($Q$6:$Q$10,D10,$T$6:$T$10)</f>
        <v>0.5</v>
      </c>
      <c r="H10" s="15">
        <f>SUMIF($Q$6:$Q$10,D10,$S$6:$S$10)</f>
        <v>500</v>
      </c>
      <c r="I10" s="15">
        <f>SUMIF($Q$14:$Q$31,C10,$R$14:$R$31)/2</f>
        <v>70</v>
      </c>
      <c r="J10" s="16">
        <f>ROUND(300+TAN(PI()*20/180)*H10+(600*B10-(600+I10)*(600+2*TAN(PI()*20/180)*H10))/600,3)</f>
        <v>705.55200000000002</v>
      </c>
      <c r="K10" s="16">
        <f>ROUND(B10+300+TAN(PI()*20/180)*H10+I10*(2*TAN(PI()*20/180)*H10+600)/600,3)</f>
        <v>1894.4480000000001</v>
      </c>
      <c r="L10" s="3" t="str">
        <f ca="1">IF(B11&lt;&gt;"","["&amp;B10&amp;","""&amp;C10&amp;""","&amp;D10&amp;","&amp;E10&amp;","&amp;F10&amp;","&amp;G10&amp;","&amp;H10&amp;","&amp;J10&amp;","&amp;K10&amp;"]","["&amp;B10&amp;","""&amp;C10&amp;""","&amp;D10&amp;","&amp;E10&amp;","&amp;F10&amp;","&amp;G10&amp;","&amp;H10&amp;","&amp;J10&amp;","&amp;K10&amp;"]")</f>
        <v>[1300,"cloud_2",3,269,0.5,0.5,500,705.552,1894.448]</v>
      </c>
      <c r="Q10" s="5">
        <v>0</v>
      </c>
      <c r="R10" s="5">
        <v>1</v>
      </c>
      <c r="S10" s="5">
        <v>120</v>
      </c>
      <c r="T10" s="5">
        <v>1</v>
      </c>
    </row>
    <row r="11" spans="1:20" x14ac:dyDescent="0.25">
      <c r="A11" s="3">
        <v>9</v>
      </c>
      <c r="B11" s="13">
        <v>1450</v>
      </c>
      <c r="C11" s="14" t="s">
        <v>8</v>
      </c>
      <c r="D11" s="13">
        <v>3</v>
      </c>
      <c r="E11" s="13">
        <f ca="1">RANDBETWEEN(0,800)</f>
        <v>290</v>
      </c>
      <c r="F11" s="15">
        <f>SUMIF($Q$6:$Q$10,D11,$R$6:$R$10)</f>
        <v>0.5</v>
      </c>
      <c r="G11" s="15">
        <f>SUMIF($Q$6:$Q$10,D11,$T$6:$T$10)</f>
        <v>0.5</v>
      </c>
      <c r="H11" s="15">
        <f>SUMIF($Q$6:$Q$10,D11,$S$6:$S$10)</f>
        <v>500</v>
      </c>
      <c r="I11" s="15">
        <f>SUMIF($Q$14:$Q$31,C11,$R$14:$R$31)/2</f>
        <v>70</v>
      </c>
      <c r="J11" s="16">
        <f>ROUND(300+TAN(PI()*20/180)*H11+(600*B11-(600+I11)*(600+2*TAN(PI()*20/180)*H11))/600,3)</f>
        <v>855.55200000000002</v>
      </c>
      <c r="K11" s="16">
        <f>ROUND(B11+300+TAN(PI()*20/180)*H11+I11*(2*TAN(PI()*20/180)*H11+600)/600,3)</f>
        <v>2044.4480000000001</v>
      </c>
      <c r="L11" s="3" t="str">
        <f ca="1">IF(B12&lt;&gt;"","["&amp;B11&amp;","""&amp;C11&amp;""","&amp;D11&amp;","&amp;E11&amp;","&amp;F11&amp;","&amp;G11&amp;","&amp;H11&amp;","&amp;J11&amp;","&amp;K11&amp;"]","["&amp;B11&amp;","""&amp;C11&amp;""","&amp;D11&amp;","&amp;E11&amp;","&amp;F11&amp;","&amp;G11&amp;","&amp;H11&amp;","&amp;J11&amp;","&amp;K11&amp;"]")</f>
        <v>[1450,"cloud_2",3,290,0.5,0.5,500,855.552,2044.448]</v>
      </c>
    </row>
    <row r="12" spans="1:20" x14ac:dyDescent="0.25">
      <c r="A12" s="3">
        <v>10</v>
      </c>
      <c r="B12" s="13">
        <v>1600</v>
      </c>
      <c r="C12" s="14" t="s">
        <v>8</v>
      </c>
      <c r="D12" s="13">
        <v>3</v>
      </c>
      <c r="E12" s="13">
        <f ca="1">RANDBETWEEN(0,800)</f>
        <v>634</v>
      </c>
      <c r="F12" s="15">
        <f>SUMIF($Q$6:$Q$10,D12,$R$6:$R$10)</f>
        <v>0.5</v>
      </c>
      <c r="G12" s="15">
        <f>SUMIF($Q$6:$Q$10,D12,$T$6:$T$10)</f>
        <v>0.5</v>
      </c>
      <c r="H12" s="15">
        <f>SUMIF($Q$6:$Q$10,D12,$S$6:$S$10)</f>
        <v>500</v>
      </c>
      <c r="I12" s="15">
        <f>SUMIF($Q$14:$Q$31,C12,$R$14:$R$31)/2</f>
        <v>70</v>
      </c>
      <c r="J12" s="16">
        <f>ROUND(300+TAN(PI()*20/180)*H12+(600*B12-(600+I12)*(600+2*TAN(PI()*20/180)*H12))/600,3)</f>
        <v>1005.552</v>
      </c>
      <c r="K12" s="16">
        <f>ROUND(B12+300+TAN(PI()*20/180)*H12+I12*(2*TAN(PI()*20/180)*H12+600)/600,3)</f>
        <v>2194.4479999999999</v>
      </c>
      <c r="L12" s="3" t="str">
        <f ca="1">IF(B13&lt;&gt;"","["&amp;B12&amp;","""&amp;C12&amp;""","&amp;D12&amp;","&amp;E12&amp;","&amp;F12&amp;","&amp;G12&amp;","&amp;H12&amp;","&amp;J12&amp;","&amp;K12&amp;"]","["&amp;B12&amp;","""&amp;C12&amp;""","&amp;D12&amp;","&amp;E12&amp;","&amp;F12&amp;","&amp;G12&amp;","&amp;H12&amp;","&amp;J12&amp;","&amp;K12&amp;"]")</f>
        <v>[1600,"cloud_2",3,634,0.5,0.5,500,1005.552,2194.448]</v>
      </c>
    </row>
    <row r="13" spans="1:20" x14ac:dyDescent="0.25">
      <c r="A13" s="3">
        <v>11</v>
      </c>
      <c r="B13" s="13">
        <v>1750</v>
      </c>
      <c r="C13" s="14" t="s">
        <v>8</v>
      </c>
      <c r="D13" s="13">
        <v>3</v>
      </c>
      <c r="E13" s="13">
        <f ca="1">RANDBETWEEN(0,800)</f>
        <v>542</v>
      </c>
      <c r="F13" s="15">
        <f>SUMIF($Q$6:$Q$10,D13,$R$6:$R$10)</f>
        <v>0.5</v>
      </c>
      <c r="G13" s="15">
        <f>SUMIF($Q$6:$Q$10,D13,$T$6:$T$10)</f>
        <v>0.5</v>
      </c>
      <c r="H13" s="15">
        <f>SUMIF($Q$6:$Q$10,D13,$S$6:$S$10)</f>
        <v>500</v>
      </c>
      <c r="I13" s="15">
        <f>SUMIF($Q$14:$Q$31,C13,$R$14:$R$31)/2</f>
        <v>70</v>
      </c>
      <c r="J13" s="16">
        <f>ROUND(300+TAN(PI()*20/180)*H13+(600*B13-(600+I13)*(600+2*TAN(PI()*20/180)*H13))/600,3)</f>
        <v>1155.5519999999999</v>
      </c>
      <c r="K13" s="16">
        <f>ROUND(B13+300+TAN(PI()*20/180)*H13+I13*(2*TAN(PI()*20/180)*H13+600)/600,3)</f>
        <v>2344.4479999999999</v>
      </c>
      <c r="L13" s="3" t="str">
        <f ca="1">IF(B14&lt;&gt;"","["&amp;B13&amp;","""&amp;C13&amp;""","&amp;D13&amp;","&amp;E13&amp;","&amp;F13&amp;","&amp;G13&amp;","&amp;H13&amp;","&amp;J13&amp;","&amp;K13&amp;"]","["&amp;B13&amp;","""&amp;C13&amp;""","&amp;D13&amp;","&amp;E13&amp;","&amp;F13&amp;","&amp;G13&amp;","&amp;H13&amp;","&amp;J13&amp;","&amp;K13&amp;"]")</f>
        <v>[1750,"cloud_2",3,542,0.5,0.5,500,1155.552,2344.448]</v>
      </c>
      <c r="Q13" s="7" t="s">
        <v>12</v>
      </c>
      <c r="R13" s="7" t="s">
        <v>2</v>
      </c>
    </row>
    <row r="14" spans="1:20" x14ac:dyDescent="0.25">
      <c r="A14" s="3">
        <v>12</v>
      </c>
      <c r="B14" s="13">
        <v>1900</v>
      </c>
      <c r="C14" s="14" t="s">
        <v>8</v>
      </c>
      <c r="D14" s="13">
        <v>3</v>
      </c>
      <c r="E14" s="13">
        <f ca="1">RANDBETWEEN(0,800)</f>
        <v>464</v>
      </c>
      <c r="F14" s="15">
        <f>SUMIF($Q$6:$Q$10,D14,$R$6:$R$10)</f>
        <v>0.5</v>
      </c>
      <c r="G14" s="15">
        <f>SUMIF($Q$6:$Q$10,D14,$T$6:$T$10)</f>
        <v>0.5</v>
      </c>
      <c r="H14" s="15">
        <f>SUMIF($Q$6:$Q$10,D14,$S$6:$S$10)</f>
        <v>500</v>
      </c>
      <c r="I14" s="15">
        <f>SUMIF($Q$14:$Q$31,C14,$R$14:$R$31)/2</f>
        <v>70</v>
      </c>
      <c r="J14" s="16">
        <f>ROUND(300+TAN(PI()*20/180)*H14+(600*B14-(600+I14)*(600+2*TAN(PI()*20/180)*H14))/600,3)</f>
        <v>1305.5519999999999</v>
      </c>
      <c r="K14" s="16">
        <f>ROUND(B14+300+TAN(PI()*20/180)*H14+I14*(2*TAN(PI()*20/180)*H14+600)/600,3)</f>
        <v>2494.4479999999999</v>
      </c>
      <c r="L14" s="3" t="str">
        <f ca="1">IF(B15&lt;&gt;"","["&amp;B14&amp;","""&amp;C14&amp;""","&amp;D14&amp;","&amp;E14&amp;","&amp;F14&amp;","&amp;G14&amp;","&amp;H14&amp;","&amp;J14&amp;","&amp;K14&amp;"]","["&amp;B14&amp;","""&amp;C14&amp;""","&amp;D14&amp;","&amp;E14&amp;","&amp;F14&amp;","&amp;G14&amp;","&amp;H14&amp;","&amp;J14&amp;","&amp;K14&amp;"]")</f>
        <v>[1900,"cloud_2",3,464,0.5,0.5,500,1305.552,2494.448]</v>
      </c>
      <c r="Q14" s="8" t="s">
        <v>35</v>
      </c>
      <c r="R14" s="8">
        <v>434</v>
      </c>
    </row>
    <row r="15" spans="1:20" x14ac:dyDescent="0.25">
      <c r="A15" s="3">
        <v>13</v>
      </c>
      <c r="B15" s="13">
        <v>2050</v>
      </c>
      <c r="C15" s="14" t="s">
        <v>8</v>
      </c>
      <c r="D15" s="13">
        <v>3</v>
      </c>
      <c r="E15" s="13">
        <f ca="1">RANDBETWEEN(0,800)</f>
        <v>628</v>
      </c>
      <c r="F15" s="15">
        <f>SUMIF($Q$6:$Q$10,D15,$R$6:$R$10)</f>
        <v>0.5</v>
      </c>
      <c r="G15" s="15">
        <f>SUMIF($Q$6:$Q$10,D15,$T$6:$T$10)</f>
        <v>0.5</v>
      </c>
      <c r="H15" s="15">
        <f>SUMIF($Q$6:$Q$10,D15,$S$6:$S$10)</f>
        <v>500</v>
      </c>
      <c r="I15" s="15">
        <f>SUMIF($Q$14:$Q$31,C15,$R$14:$R$31)/2</f>
        <v>70</v>
      </c>
      <c r="J15" s="16">
        <f>ROUND(300+TAN(PI()*20/180)*H15+(600*B15-(600+I15)*(600+2*TAN(PI()*20/180)*H15))/600,3)</f>
        <v>1455.5519999999999</v>
      </c>
      <c r="K15" s="16">
        <f>ROUND(B15+300+TAN(PI()*20/180)*H15+I15*(2*TAN(PI()*20/180)*H15+600)/600,3)</f>
        <v>2644.4479999999999</v>
      </c>
      <c r="L15" s="3" t="str">
        <f ca="1">IF(B16&lt;&gt;"","["&amp;B15&amp;","""&amp;C15&amp;""","&amp;D15&amp;","&amp;E15&amp;","&amp;F15&amp;","&amp;G15&amp;","&amp;H15&amp;","&amp;J15&amp;","&amp;K15&amp;"]","["&amp;B15&amp;","""&amp;C15&amp;""","&amp;D15&amp;","&amp;E15&amp;","&amp;F15&amp;","&amp;G15&amp;","&amp;H15&amp;","&amp;J15&amp;","&amp;K15&amp;"]")</f>
        <v>[2050,"cloud_2",3,628,0.5,0.5,500,1455.552,2644.448]</v>
      </c>
      <c r="Q15" s="8" t="s">
        <v>5</v>
      </c>
      <c r="R15" s="8">
        <v>140</v>
      </c>
    </row>
    <row r="16" spans="1:20" x14ac:dyDescent="0.25">
      <c r="A16" s="3">
        <v>14</v>
      </c>
      <c r="B16" s="13">
        <v>2200</v>
      </c>
      <c r="C16" s="14" t="s">
        <v>8</v>
      </c>
      <c r="D16" s="13">
        <v>3</v>
      </c>
      <c r="E16" s="13">
        <f ca="1">RANDBETWEEN(0,800)</f>
        <v>566</v>
      </c>
      <c r="F16" s="15">
        <f>SUMIF($Q$6:$Q$10,D16,$R$6:$R$10)</f>
        <v>0.5</v>
      </c>
      <c r="G16" s="15">
        <f>SUMIF($Q$6:$Q$10,D16,$T$6:$T$10)</f>
        <v>0.5</v>
      </c>
      <c r="H16" s="15">
        <f>SUMIF($Q$6:$Q$10,D16,$S$6:$S$10)</f>
        <v>500</v>
      </c>
      <c r="I16" s="15">
        <f>SUMIF($Q$14:$Q$31,C16,$R$14:$R$31)/2</f>
        <v>70</v>
      </c>
      <c r="J16" s="16">
        <f>ROUND(300+TAN(PI()*20/180)*H16+(600*B16-(600+I16)*(600+2*TAN(PI()*20/180)*H16))/600,3)</f>
        <v>1605.5519999999999</v>
      </c>
      <c r="K16" s="16">
        <f>ROUND(B16+300+TAN(PI()*20/180)*H16+I16*(2*TAN(PI()*20/180)*H16+600)/600,3)</f>
        <v>2794.4479999999999</v>
      </c>
      <c r="L16" s="3" t="str">
        <f ca="1">IF(B17&lt;&gt;"","["&amp;B16&amp;","""&amp;C16&amp;""","&amp;D16&amp;","&amp;E16&amp;","&amp;F16&amp;","&amp;G16&amp;","&amp;H16&amp;","&amp;J16&amp;","&amp;K16&amp;"]","["&amp;B16&amp;","""&amp;C16&amp;""","&amp;D16&amp;","&amp;E16&amp;","&amp;F16&amp;","&amp;G16&amp;","&amp;H16&amp;","&amp;J16&amp;","&amp;K16&amp;"]")</f>
        <v>[2200,"cloud_2",3,566,0.5,0.5,500,1605.552,2794.448]</v>
      </c>
      <c r="Q16" s="8" t="s">
        <v>8</v>
      </c>
      <c r="R16" s="8">
        <v>140</v>
      </c>
    </row>
    <row r="17" spans="1:18" x14ac:dyDescent="0.25">
      <c r="A17" s="3">
        <v>15</v>
      </c>
      <c r="B17" s="13">
        <v>2350</v>
      </c>
      <c r="C17" s="14" t="s">
        <v>8</v>
      </c>
      <c r="D17" s="13">
        <v>3</v>
      </c>
      <c r="E17" s="13">
        <f ca="1">RANDBETWEEN(0,800)</f>
        <v>773</v>
      </c>
      <c r="F17" s="15">
        <f>SUMIF($Q$6:$Q$10,D17,$R$6:$R$10)</f>
        <v>0.5</v>
      </c>
      <c r="G17" s="15">
        <f>SUMIF($Q$6:$Q$10,D17,$T$6:$T$10)</f>
        <v>0.5</v>
      </c>
      <c r="H17" s="15">
        <f>SUMIF($Q$6:$Q$10,D17,$S$6:$S$10)</f>
        <v>500</v>
      </c>
      <c r="I17" s="15">
        <f>SUMIF($Q$14:$Q$31,C17,$R$14:$R$31)/2</f>
        <v>70</v>
      </c>
      <c r="J17" s="16">
        <f>ROUND(300+TAN(PI()*20/180)*H17+(600*B17-(600+I17)*(600+2*TAN(PI()*20/180)*H17))/600,3)</f>
        <v>1755.5519999999999</v>
      </c>
      <c r="K17" s="16">
        <f>ROUND(B17+300+TAN(PI()*20/180)*H17+I17*(2*TAN(PI()*20/180)*H17+600)/600,3)</f>
        <v>2944.4479999999999</v>
      </c>
      <c r="L17" s="3" t="str">
        <f ca="1">IF(B18&lt;&gt;"","["&amp;B17&amp;","""&amp;C17&amp;""","&amp;D17&amp;","&amp;E17&amp;","&amp;F17&amp;","&amp;G17&amp;","&amp;H17&amp;","&amp;J17&amp;","&amp;K17&amp;"]","["&amp;B17&amp;","""&amp;C17&amp;""","&amp;D17&amp;","&amp;E17&amp;","&amp;F17&amp;","&amp;G17&amp;","&amp;H17&amp;","&amp;J17&amp;","&amp;K17&amp;"]")</f>
        <v>[2350,"cloud_2",3,773,0.5,0.5,500,1755.552,2944.448]</v>
      </c>
      <c r="Q17" s="8" t="s">
        <v>50</v>
      </c>
      <c r="R17" s="8">
        <v>810</v>
      </c>
    </row>
    <row r="18" spans="1:18" x14ac:dyDescent="0.25">
      <c r="A18" s="3">
        <v>16</v>
      </c>
      <c r="B18" s="13">
        <v>2500</v>
      </c>
      <c r="C18" s="14" t="s">
        <v>8</v>
      </c>
      <c r="D18" s="13">
        <v>3</v>
      </c>
      <c r="E18" s="13">
        <f ca="1">RANDBETWEEN(0,800)</f>
        <v>410</v>
      </c>
      <c r="F18" s="15">
        <f>SUMIF($Q$6:$Q$10,D18,$R$6:$R$10)</f>
        <v>0.5</v>
      </c>
      <c r="G18" s="15">
        <f>SUMIF($Q$6:$Q$10,D18,$T$6:$T$10)</f>
        <v>0.5</v>
      </c>
      <c r="H18" s="15">
        <f>SUMIF($Q$6:$Q$10,D18,$S$6:$S$10)</f>
        <v>500</v>
      </c>
      <c r="I18" s="15">
        <f>SUMIF($Q$14:$Q$31,C18,$R$14:$R$31)/2</f>
        <v>70</v>
      </c>
      <c r="J18" s="16">
        <f>ROUND(300+TAN(PI()*20/180)*H18+(600*B18-(600+I18)*(600+2*TAN(PI()*20/180)*H18))/600,3)</f>
        <v>1905.5519999999999</v>
      </c>
      <c r="K18" s="16">
        <f>ROUND(B18+300+TAN(PI()*20/180)*H18+I18*(2*TAN(PI()*20/180)*H18+600)/600,3)</f>
        <v>3094.4479999999999</v>
      </c>
      <c r="L18" s="3" t="str">
        <f ca="1">IF(B19&lt;&gt;"","["&amp;B18&amp;","""&amp;C18&amp;""","&amp;D18&amp;","&amp;E18&amp;","&amp;F18&amp;","&amp;G18&amp;","&amp;H18&amp;","&amp;J18&amp;","&amp;K18&amp;"]","["&amp;B18&amp;","""&amp;C18&amp;""","&amp;D18&amp;","&amp;E18&amp;","&amp;F18&amp;","&amp;G18&amp;","&amp;H18&amp;","&amp;J18&amp;","&amp;K18&amp;"]")</f>
        <v>[2500,"cloud_2",3,410,0.5,0.5,500,1905.552,3094.448]</v>
      </c>
      <c r="Q18" s="8" t="s">
        <v>51</v>
      </c>
      <c r="R18" s="8">
        <v>568</v>
      </c>
    </row>
    <row r="19" spans="1:18" x14ac:dyDescent="0.25">
      <c r="A19" s="3">
        <v>17</v>
      </c>
      <c r="B19" s="13">
        <v>2650</v>
      </c>
      <c r="C19" s="14" t="s">
        <v>8</v>
      </c>
      <c r="D19" s="13">
        <v>3</v>
      </c>
      <c r="E19" s="13">
        <f ca="1">RANDBETWEEN(0,800)</f>
        <v>607</v>
      </c>
      <c r="F19" s="15">
        <f>SUMIF($Q$6:$Q$10,D19,$R$6:$R$10)</f>
        <v>0.5</v>
      </c>
      <c r="G19" s="15">
        <f>SUMIF($Q$6:$Q$10,D19,$T$6:$T$10)</f>
        <v>0.5</v>
      </c>
      <c r="H19" s="15">
        <f>SUMIF($Q$6:$Q$10,D19,$S$6:$S$10)</f>
        <v>500</v>
      </c>
      <c r="I19" s="15">
        <f>SUMIF($Q$14:$Q$31,C19,$R$14:$R$31)/2</f>
        <v>70</v>
      </c>
      <c r="J19" s="16">
        <f>ROUND(300+TAN(PI()*20/180)*H19+(600*B19-(600+I19)*(600+2*TAN(PI()*20/180)*H19))/600,3)</f>
        <v>2055.5520000000001</v>
      </c>
      <c r="K19" s="16">
        <f>ROUND(B19+300+TAN(PI()*20/180)*H19+I19*(2*TAN(PI()*20/180)*H19+600)/600,3)</f>
        <v>3244.4479999999999</v>
      </c>
      <c r="L19" s="3" t="str">
        <f ca="1">IF(B20&lt;&gt;"","["&amp;B19&amp;","""&amp;C19&amp;""","&amp;D19&amp;","&amp;E19&amp;","&amp;F19&amp;","&amp;G19&amp;","&amp;H19&amp;","&amp;J19&amp;","&amp;K19&amp;"]","["&amp;B19&amp;","""&amp;C19&amp;""","&amp;D19&amp;","&amp;E19&amp;","&amp;F19&amp;","&amp;G19&amp;","&amp;H19&amp;","&amp;J19&amp;","&amp;K19&amp;"]")</f>
        <v>[2650,"cloud_2",3,607,0.5,0.5,500,2055.552,3244.448]</v>
      </c>
      <c r="Q19" s="8" t="s">
        <v>52</v>
      </c>
      <c r="R19" s="8">
        <v>810</v>
      </c>
    </row>
    <row r="20" spans="1:18" x14ac:dyDescent="0.25">
      <c r="A20" s="3">
        <v>18</v>
      </c>
      <c r="B20" s="13">
        <v>2800</v>
      </c>
      <c r="C20" s="14" t="s">
        <v>8</v>
      </c>
      <c r="D20" s="13">
        <v>3</v>
      </c>
      <c r="E20" s="13">
        <f ca="1">RANDBETWEEN(0,800)</f>
        <v>495</v>
      </c>
      <c r="F20" s="15">
        <f>SUMIF($Q$6:$Q$10,D20,$R$6:$R$10)</f>
        <v>0.5</v>
      </c>
      <c r="G20" s="15">
        <f>SUMIF($Q$6:$Q$10,D20,$T$6:$T$10)</f>
        <v>0.5</v>
      </c>
      <c r="H20" s="15">
        <f>SUMIF($Q$6:$Q$10,D20,$S$6:$S$10)</f>
        <v>500</v>
      </c>
      <c r="I20" s="15">
        <f>SUMIF($Q$14:$Q$31,C20,$R$14:$R$31)/2</f>
        <v>70</v>
      </c>
      <c r="J20" s="16">
        <f>ROUND(300+TAN(PI()*20/180)*H20+(600*B20-(600+I20)*(600+2*TAN(PI()*20/180)*H20))/600,3)</f>
        <v>2205.5520000000001</v>
      </c>
      <c r="K20" s="16">
        <f>ROUND(B20+300+TAN(PI()*20/180)*H20+I20*(2*TAN(PI()*20/180)*H20+600)/600,3)</f>
        <v>3394.4479999999999</v>
      </c>
      <c r="L20" s="3" t="str">
        <f ca="1">IF(B21&lt;&gt;"","["&amp;B20&amp;","""&amp;C20&amp;""","&amp;D20&amp;","&amp;E20&amp;","&amp;F20&amp;","&amp;G20&amp;","&amp;H20&amp;","&amp;J20&amp;","&amp;K20&amp;"]","["&amp;B20&amp;","""&amp;C20&amp;""","&amp;D20&amp;","&amp;E20&amp;","&amp;F20&amp;","&amp;G20&amp;","&amp;H20&amp;","&amp;J20&amp;","&amp;K20&amp;"]")</f>
        <v>[2800,"cloud_2",3,495,0.5,0.5,500,2205.552,3394.448]</v>
      </c>
      <c r="Q20" s="8" t="s">
        <v>33</v>
      </c>
      <c r="R20" s="8">
        <v>768</v>
      </c>
    </row>
    <row r="21" spans="1:18" x14ac:dyDescent="0.25">
      <c r="A21" s="3">
        <v>19</v>
      </c>
      <c r="B21" s="13">
        <v>2950</v>
      </c>
      <c r="C21" s="14" t="s">
        <v>8</v>
      </c>
      <c r="D21" s="13">
        <v>3</v>
      </c>
      <c r="E21" s="13">
        <f ca="1">RANDBETWEEN(0,800)</f>
        <v>448</v>
      </c>
      <c r="F21" s="15">
        <f>SUMIF($Q$6:$Q$10,D21,$R$6:$R$10)</f>
        <v>0.5</v>
      </c>
      <c r="G21" s="15">
        <f>SUMIF($Q$6:$Q$10,D21,$T$6:$T$10)</f>
        <v>0.5</v>
      </c>
      <c r="H21" s="15">
        <f>SUMIF($Q$6:$Q$10,D21,$S$6:$S$10)</f>
        <v>500</v>
      </c>
      <c r="I21" s="15">
        <f>SUMIF($Q$14:$Q$31,C21,$R$14:$R$31)/2</f>
        <v>70</v>
      </c>
      <c r="J21" s="16">
        <f>ROUND(300+TAN(PI()*20/180)*H21+(600*B21-(600+I21)*(600+2*TAN(PI()*20/180)*H21))/600,3)</f>
        <v>2355.5520000000001</v>
      </c>
      <c r="K21" s="16">
        <f>ROUND(B21+300+TAN(PI()*20/180)*H21+I21*(2*TAN(PI()*20/180)*H21+600)/600,3)</f>
        <v>3544.4479999999999</v>
      </c>
      <c r="L21" s="3" t="str">
        <f ca="1">IF(B22&lt;&gt;"","["&amp;B21&amp;","""&amp;C21&amp;""","&amp;D21&amp;","&amp;E21&amp;","&amp;F21&amp;","&amp;G21&amp;","&amp;H21&amp;","&amp;J21&amp;","&amp;K21&amp;"]","["&amp;B21&amp;","""&amp;C21&amp;""","&amp;D21&amp;","&amp;E21&amp;","&amp;F21&amp;","&amp;G21&amp;","&amp;H21&amp;","&amp;J21&amp;","&amp;K21&amp;"]")</f>
        <v>[2950,"cloud_2",3,448,0.5,0.5,500,2355.552,3544.448]</v>
      </c>
      <c r="N21"/>
      <c r="Q21" s="8" t="s">
        <v>17</v>
      </c>
      <c r="R21" s="8">
        <v>50</v>
      </c>
    </row>
    <row r="22" spans="1:18" x14ac:dyDescent="0.25">
      <c r="A22" s="3">
        <v>20</v>
      </c>
      <c r="B22" s="13">
        <v>3100</v>
      </c>
      <c r="C22" s="14" t="s">
        <v>8</v>
      </c>
      <c r="D22" s="13">
        <v>3</v>
      </c>
      <c r="E22" s="13">
        <f ca="1">RANDBETWEEN(0,800)</f>
        <v>112</v>
      </c>
      <c r="F22" s="15">
        <f>SUMIF($Q$6:$Q$10,D22,$R$6:$R$10)</f>
        <v>0.5</v>
      </c>
      <c r="G22" s="15">
        <f>SUMIF($Q$6:$Q$10,D22,$T$6:$T$10)</f>
        <v>0.5</v>
      </c>
      <c r="H22" s="15">
        <f>SUMIF($Q$6:$Q$10,D22,$S$6:$S$10)</f>
        <v>500</v>
      </c>
      <c r="I22" s="15">
        <f>SUMIF($Q$14:$Q$31,C22,$R$14:$R$31)/2</f>
        <v>70</v>
      </c>
      <c r="J22" s="16">
        <f>ROUND(300+TAN(PI()*20/180)*H22+(600*B22-(600+I22)*(600+2*TAN(PI()*20/180)*H22))/600,3)</f>
        <v>2505.5520000000001</v>
      </c>
      <c r="K22" s="16">
        <f>ROUND(B22+300+TAN(PI()*20/180)*H22+I22*(2*TAN(PI()*20/180)*H22+600)/600,3)</f>
        <v>3694.4479999999999</v>
      </c>
      <c r="L22" s="3" t="str">
        <f ca="1">IF(B23&lt;&gt;"","["&amp;B22&amp;","""&amp;C22&amp;""","&amp;D22&amp;","&amp;E22&amp;","&amp;F22&amp;","&amp;G22&amp;","&amp;H22&amp;","&amp;J22&amp;","&amp;K22&amp;"]","["&amp;B22&amp;","""&amp;C22&amp;""","&amp;D22&amp;","&amp;E22&amp;","&amp;F22&amp;","&amp;G22&amp;","&amp;H22&amp;","&amp;J22&amp;","&amp;K22&amp;"]")</f>
        <v>[3100,"cloud_2",3,112,0.5,0.5,500,2505.552,3694.448]</v>
      </c>
      <c r="N22"/>
      <c r="Q22" s="8" t="s">
        <v>19</v>
      </c>
      <c r="R22" s="8">
        <v>500</v>
      </c>
    </row>
    <row r="23" spans="1:18" x14ac:dyDescent="0.25">
      <c r="A23" s="3">
        <v>21</v>
      </c>
      <c r="B23" s="13">
        <v>3250</v>
      </c>
      <c r="C23" s="14" t="s">
        <v>8</v>
      </c>
      <c r="D23" s="13">
        <v>3</v>
      </c>
      <c r="E23" s="13">
        <f ca="1">RANDBETWEEN(0,800)</f>
        <v>397</v>
      </c>
      <c r="F23" s="15">
        <f>SUMIF($Q$6:$Q$10,D23,$R$6:$R$10)</f>
        <v>0.5</v>
      </c>
      <c r="G23" s="15">
        <f>SUMIF($Q$6:$Q$10,D23,$T$6:$T$10)</f>
        <v>0.5</v>
      </c>
      <c r="H23" s="15">
        <f>SUMIF($Q$6:$Q$10,D23,$S$6:$S$10)</f>
        <v>500</v>
      </c>
      <c r="I23" s="15">
        <f>SUMIF($Q$14:$Q$31,C23,$R$14:$R$31)/2</f>
        <v>70</v>
      </c>
      <c r="J23" s="16">
        <f>ROUND(300+TAN(PI()*20/180)*H23+(600*B23-(600+I23)*(600+2*TAN(PI()*20/180)*H23))/600,3)</f>
        <v>2655.5520000000001</v>
      </c>
      <c r="K23" s="16">
        <f>ROUND(B23+300+TAN(PI()*20/180)*H23+I23*(2*TAN(PI()*20/180)*H23+600)/600,3)</f>
        <v>3844.4479999999999</v>
      </c>
      <c r="L23" s="3" t="str">
        <f ca="1">IF(B24&lt;&gt;"","["&amp;B23&amp;","""&amp;C23&amp;""","&amp;D23&amp;","&amp;E23&amp;","&amp;F23&amp;","&amp;G23&amp;","&amp;H23&amp;","&amp;J23&amp;","&amp;K23&amp;"]","["&amp;B23&amp;","""&amp;C23&amp;""","&amp;D23&amp;","&amp;E23&amp;","&amp;F23&amp;","&amp;G23&amp;","&amp;H23&amp;","&amp;J23&amp;","&amp;K23&amp;"]")</f>
        <v>[3250,"cloud_2",3,397,0.5,0.5,500,2655.552,3844.448]</v>
      </c>
      <c r="N23"/>
      <c r="Q23" s="8" t="s">
        <v>14</v>
      </c>
      <c r="R23" s="8">
        <v>100</v>
      </c>
    </row>
    <row r="24" spans="1:18" x14ac:dyDescent="0.25">
      <c r="A24" s="3">
        <v>22</v>
      </c>
      <c r="B24" s="13">
        <v>3400</v>
      </c>
      <c r="C24" s="14" t="s">
        <v>8</v>
      </c>
      <c r="D24" s="13">
        <v>3</v>
      </c>
      <c r="E24" s="13">
        <f ca="1">RANDBETWEEN(0,800)</f>
        <v>523</v>
      </c>
      <c r="F24" s="15">
        <f>SUMIF($Q$6:$Q$10,D24,$R$6:$R$10)</f>
        <v>0.5</v>
      </c>
      <c r="G24" s="15">
        <f>SUMIF($Q$6:$Q$10,D24,$T$6:$T$10)</f>
        <v>0.5</v>
      </c>
      <c r="H24" s="15">
        <f>SUMIF($Q$6:$Q$10,D24,$S$6:$S$10)</f>
        <v>500</v>
      </c>
      <c r="I24" s="15">
        <f>SUMIF($Q$14:$Q$31,C24,$R$14:$R$31)/2</f>
        <v>70</v>
      </c>
      <c r="J24" s="16">
        <f>ROUND(300+TAN(PI()*20/180)*H24+(600*B24-(600+I24)*(600+2*TAN(PI()*20/180)*H24))/600,3)</f>
        <v>2805.5520000000001</v>
      </c>
      <c r="K24" s="16">
        <f>ROUND(B24+300+TAN(PI()*20/180)*H24+I24*(2*TAN(PI()*20/180)*H24+600)/600,3)</f>
        <v>3994.4479999999999</v>
      </c>
      <c r="L24" s="3" t="str">
        <f ca="1">IF(B25&lt;&gt;"","["&amp;B24&amp;","""&amp;C24&amp;""","&amp;D24&amp;","&amp;E24&amp;","&amp;F24&amp;","&amp;G24&amp;","&amp;H24&amp;","&amp;J24&amp;","&amp;K24&amp;"]","["&amp;B24&amp;","""&amp;C24&amp;""","&amp;D24&amp;","&amp;E24&amp;","&amp;F24&amp;","&amp;G24&amp;","&amp;H24&amp;","&amp;J24&amp;","&amp;K24&amp;"]")</f>
        <v>[3400,"cloud_2",3,523,0.5,0.5,500,2805.552,3994.448]</v>
      </c>
      <c r="N24"/>
      <c r="Q24" s="8" t="s">
        <v>15</v>
      </c>
      <c r="R24" s="8">
        <v>300</v>
      </c>
    </row>
    <row r="25" spans="1:18" x14ac:dyDescent="0.25">
      <c r="A25" s="3">
        <v>23</v>
      </c>
      <c r="B25" s="13">
        <v>3550</v>
      </c>
      <c r="C25" s="14" t="s">
        <v>8</v>
      </c>
      <c r="D25" s="13">
        <v>3</v>
      </c>
      <c r="E25" s="13">
        <f ca="1">RANDBETWEEN(0,800)</f>
        <v>205</v>
      </c>
      <c r="F25" s="15">
        <f>SUMIF($Q$6:$Q$10,D25,$R$6:$R$10)</f>
        <v>0.5</v>
      </c>
      <c r="G25" s="15">
        <f>SUMIF($Q$6:$Q$10,D25,$T$6:$T$10)</f>
        <v>0.5</v>
      </c>
      <c r="H25" s="15">
        <f>SUMIF($Q$6:$Q$10,D25,$S$6:$S$10)</f>
        <v>500</v>
      </c>
      <c r="I25" s="15">
        <f>SUMIF($Q$14:$Q$31,C25,$R$14:$R$31)/2</f>
        <v>70</v>
      </c>
      <c r="J25" s="16">
        <f>ROUND(300+TAN(PI()*20/180)*H25+(600*B25-(600+I25)*(600+2*TAN(PI()*20/180)*H25))/600,3)</f>
        <v>2955.5520000000001</v>
      </c>
      <c r="K25" s="16">
        <f>ROUND(B25+300+TAN(PI()*20/180)*H25+I25*(2*TAN(PI()*20/180)*H25+600)/600,3)</f>
        <v>4144.4480000000003</v>
      </c>
      <c r="L25" s="3" t="str">
        <f ca="1">IF(B26&lt;&gt;"","["&amp;B25&amp;","""&amp;C25&amp;""","&amp;D25&amp;","&amp;E25&amp;","&amp;F25&amp;","&amp;G25&amp;","&amp;H25&amp;","&amp;J25&amp;","&amp;K25&amp;"]","["&amp;B25&amp;","""&amp;C25&amp;""","&amp;D25&amp;","&amp;E25&amp;","&amp;F25&amp;","&amp;G25&amp;","&amp;H25&amp;","&amp;J25&amp;","&amp;K25&amp;"]")</f>
        <v>[3550,"cloud_2",3,205,0.5,0.5,500,2955.552,4144.448]</v>
      </c>
      <c r="N25"/>
      <c r="Q25" s="8" t="s">
        <v>16</v>
      </c>
      <c r="R25" s="8">
        <v>300</v>
      </c>
    </row>
    <row r="26" spans="1:18" x14ac:dyDescent="0.25">
      <c r="A26" s="3">
        <v>24</v>
      </c>
      <c r="B26" s="13">
        <v>3700</v>
      </c>
      <c r="C26" s="14" t="s">
        <v>8</v>
      </c>
      <c r="D26" s="13">
        <v>3</v>
      </c>
      <c r="E26" s="13">
        <f ca="1">RANDBETWEEN(0,800)</f>
        <v>39</v>
      </c>
      <c r="F26" s="15">
        <f>SUMIF($Q$6:$Q$10,D26,$R$6:$R$10)</f>
        <v>0.5</v>
      </c>
      <c r="G26" s="15">
        <f>SUMIF($Q$6:$Q$10,D26,$T$6:$T$10)</f>
        <v>0.5</v>
      </c>
      <c r="H26" s="15">
        <f>SUMIF($Q$6:$Q$10,D26,$S$6:$S$10)</f>
        <v>500</v>
      </c>
      <c r="I26" s="15">
        <f>SUMIF($Q$14:$Q$31,C26,$R$14:$R$31)/2</f>
        <v>70</v>
      </c>
      <c r="J26" s="16">
        <f>ROUND(300+TAN(PI()*20/180)*H26+(600*B26-(600+I26)*(600+2*TAN(PI()*20/180)*H26))/600,3)</f>
        <v>3105.5520000000001</v>
      </c>
      <c r="K26" s="16">
        <f>ROUND(B26+300+TAN(PI()*20/180)*H26+I26*(2*TAN(PI()*20/180)*H26+600)/600,3)</f>
        <v>4294.4480000000003</v>
      </c>
      <c r="L26" s="3" t="str">
        <f ca="1">IF(B27&lt;&gt;"","["&amp;B26&amp;","""&amp;C26&amp;""","&amp;D26&amp;","&amp;E26&amp;","&amp;F26&amp;","&amp;G26&amp;","&amp;H26&amp;","&amp;J26&amp;","&amp;K26&amp;"]","["&amp;B26&amp;","""&amp;C26&amp;""","&amp;D26&amp;","&amp;E26&amp;","&amp;F26&amp;","&amp;G26&amp;","&amp;H26&amp;","&amp;J26&amp;","&amp;K26&amp;"]")</f>
        <v>[3700,"cloud_2",3,39,0.5,0.5,500,3105.552,4294.448]</v>
      </c>
      <c r="N26"/>
      <c r="Q26" s="5" t="s">
        <v>20</v>
      </c>
      <c r="R26" s="5">
        <v>110</v>
      </c>
    </row>
    <row r="27" spans="1:18" x14ac:dyDescent="0.25">
      <c r="A27" s="3">
        <v>25</v>
      </c>
      <c r="B27" s="13">
        <v>3850</v>
      </c>
      <c r="C27" s="14" t="s">
        <v>8</v>
      </c>
      <c r="D27" s="13">
        <v>3</v>
      </c>
      <c r="E27" s="13">
        <f ca="1">RANDBETWEEN(0,800)</f>
        <v>194</v>
      </c>
      <c r="F27" s="15">
        <f>SUMIF($Q$6:$Q$10,D27,$R$6:$R$10)</f>
        <v>0.5</v>
      </c>
      <c r="G27" s="15">
        <f>SUMIF($Q$6:$Q$10,D27,$T$6:$T$10)</f>
        <v>0.5</v>
      </c>
      <c r="H27" s="15">
        <f>SUMIF($Q$6:$Q$10,D27,$S$6:$S$10)</f>
        <v>500</v>
      </c>
      <c r="I27" s="15">
        <f>SUMIF($Q$14:$Q$31,C27,$R$14:$R$31)/2</f>
        <v>70</v>
      </c>
      <c r="J27" s="16">
        <f>ROUND(300+TAN(PI()*20/180)*H27+(600*B27-(600+I27)*(600+2*TAN(PI()*20/180)*H27))/600,3)</f>
        <v>3255.5520000000001</v>
      </c>
      <c r="K27" s="16">
        <f>ROUND(B27+300+TAN(PI()*20/180)*H27+I27*(2*TAN(PI()*20/180)*H27+600)/600,3)</f>
        <v>4444.4480000000003</v>
      </c>
      <c r="L27" s="3" t="str">
        <f ca="1">IF(B28&lt;&gt;"","["&amp;B27&amp;","""&amp;C27&amp;""","&amp;D27&amp;","&amp;E27&amp;","&amp;F27&amp;","&amp;G27&amp;","&amp;H27&amp;","&amp;J27&amp;","&amp;K27&amp;"]","["&amp;B27&amp;","""&amp;C27&amp;""","&amp;D27&amp;","&amp;E27&amp;","&amp;F27&amp;","&amp;G27&amp;","&amp;H27&amp;","&amp;J27&amp;","&amp;K27&amp;"]")</f>
        <v>[3850,"cloud_2",3,194,0.5,0.5,500,3255.552,4444.448]</v>
      </c>
      <c r="N27"/>
      <c r="Q27" s="5" t="s">
        <v>21</v>
      </c>
      <c r="R27" s="5">
        <v>110</v>
      </c>
    </row>
    <row r="28" spans="1:18" x14ac:dyDescent="0.25">
      <c r="A28" s="3">
        <v>26</v>
      </c>
      <c r="B28" s="13">
        <v>4000</v>
      </c>
      <c r="C28" s="14" t="s">
        <v>8</v>
      </c>
      <c r="D28" s="13">
        <v>3</v>
      </c>
      <c r="E28" s="13">
        <f ca="1">RANDBETWEEN(0,800)</f>
        <v>657</v>
      </c>
      <c r="F28" s="15">
        <f>SUMIF($Q$6:$Q$10,D28,$R$6:$R$10)</f>
        <v>0.5</v>
      </c>
      <c r="G28" s="15">
        <f>SUMIF($Q$6:$Q$10,D28,$T$6:$T$10)</f>
        <v>0.5</v>
      </c>
      <c r="H28" s="15">
        <f>SUMIF($Q$6:$Q$10,D28,$S$6:$S$10)</f>
        <v>500</v>
      </c>
      <c r="I28" s="15">
        <f>SUMIF($Q$14:$Q$31,C28,$R$14:$R$31)/2</f>
        <v>70</v>
      </c>
      <c r="J28" s="16">
        <f>ROUND(300+TAN(PI()*20/180)*H28+(600*B28-(600+I28)*(600+2*TAN(PI()*20/180)*H28))/600,3)</f>
        <v>3405.5520000000001</v>
      </c>
      <c r="K28" s="16">
        <f>ROUND(B28+300+TAN(PI()*20/180)*H28+I28*(2*TAN(PI()*20/180)*H28+600)/600,3)</f>
        <v>4594.4480000000003</v>
      </c>
      <c r="L28" s="3" t="str">
        <f ca="1">IF(B29&lt;&gt;"","["&amp;B28&amp;","""&amp;C28&amp;""","&amp;D28&amp;","&amp;E28&amp;","&amp;F28&amp;","&amp;G28&amp;","&amp;H28&amp;","&amp;J28&amp;","&amp;K28&amp;"]","["&amp;B28&amp;","""&amp;C28&amp;""","&amp;D28&amp;","&amp;E28&amp;","&amp;F28&amp;","&amp;G28&amp;","&amp;H28&amp;","&amp;J28&amp;","&amp;K28&amp;"]")</f>
        <v>[4000,"cloud_2",3,657,0.5,0.5,500,3405.552,4594.448]</v>
      </c>
      <c r="N28"/>
      <c r="Q28" s="5" t="s">
        <v>22</v>
      </c>
      <c r="R28" s="5">
        <v>110</v>
      </c>
    </row>
    <row r="29" spans="1:18" x14ac:dyDescent="0.25">
      <c r="A29" s="3">
        <v>27</v>
      </c>
      <c r="B29" s="13">
        <v>4150</v>
      </c>
      <c r="C29" s="14" t="s">
        <v>8</v>
      </c>
      <c r="D29" s="13">
        <v>3</v>
      </c>
      <c r="E29" s="13">
        <f ca="1">RANDBETWEEN(0,800)</f>
        <v>501</v>
      </c>
      <c r="F29" s="15">
        <f>SUMIF($Q$6:$Q$10,D29,$R$6:$R$10)</f>
        <v>0.5</v>
      </c>
      <c r="G29" s="15">
        <f>SUMIF($Q$6:$Q$10,D29,$T$6:$T$10)</f>
        <v>0.5</v>
      </c>
      <c r="H29" s="15">
        <f>SUMIF($Q$6:$Q$10,D29,$S$6:$S$10)</f>
        <v>500</v>
      </c>
      <c r="I29" s="15">
        <f>SUMIF($Q$14:$Q$31,C29,$R$14:$R$31)/2</f>
        <v>70</v>
      </c>
      <c r="J29" s="16">
        <f>ROUND(300+TAN(PI()*20/180)*H29+(600*B29-(600+I29)*(600+2*TAN(PI()*20/180)*H29))/600,3)</f>
        <v>3555.5520000000001</v>
      </c>
      <c r="K29" s="16">
        <f>ROUND(B29+300+TAN(PI()*20/180)*H29+I29*(2*TAN(PI()*20/180)*H29+600)/600,3)</f>
        <v>4744.4480000000003</v>
      </c>
      <c r="L29" s="3" t="str">
        <f ca="1">IF(B30&lt;&gt;"","["&amp;B29&amp;","""&amp;C29&amp;""","&amp;D29&amp;","&amp;E29&amp;","&amp;F29&amp;","&amp;G29&amp;","&amp;H29&amp;","&amp;J29&amp;","&amp;K29&amp;"]","["&amp;B29&amp;","""&amp;C29&amp;""","&amp;D29&amp;","&amp;E29&amp;","&amp;F29&amp;","&amp;G29&amp;","&amp;H29&amp;","&amp;J29&amp;","&amp;K29&amp;"]")</f>
        <v>[4150,"cloud_2",3,501,0.5,0.5,500,3555.552,4744.448]</v>
      </c>
      <c r="N29"/>
      <c r="Q29" s="5" t="s">
        <v>49</v>
      </c>
      <c r="R29" s="5">
        <v>1126</v>
      </c>
    </row>
    <row r="30" spans="1:18" x14ac:dyDescent="0.25">
      <c r="A30" s="3">
        <v>28</v>
      </c>
      <c r="B30" s="13">
        <v>4300</v>
      </c>
      <c r="C30" s="14" t="s">
        <v>8</v>
      </c>
      <c r="D30" s="13">
        <v>3</v>
      </c>
      <c r="E30" s="13">
        <f ca="1">RANDBETWEEN(0,800)</f>
        <v>309</v>
      </c>
      <c r="F30" s="15">
        <f>SUMIF($Q$6:$Q$10,D30,$R$6:$R$10)</f>
        <v>0.5</v>
      </c>
      <c r="G30" s="15">
        <f>SUMIF($Q$6:$Q$10,D30,$T$6:$T$10)</f>
        <v>0.5</v>
      </c>
      <c r="H30" s="15">
        <f>SUMIF($Q$6:$Q$10,D30,$S$6:$S$10)</f>
        <v>500</v>
      </c>
      <c r="I30" s="15">
        <f>SUMIF($Q$14:$Q$31,C30,$R$14:$R$31)/2</f>
        <v>70</v>
      </c>
      <c r="J30" s="16">
        <f>ROUND(300+TAN(PI()*20/180)*H30+(600*B30-(600+I30)*(600+2*TAN(PI()*20/180)*H30))/600,3)</f>
        <v>3705.5520000000001</v>
      </c>
      <c r="K30" s="16">
        <f>ROUND(B30+300+TAN(PI()*20/180)*H30+I30*(2*TAN(PI()*20/180)*H30+600)/600,3)</f>
        <v>4894.4480000000003</v>
      </c>
      <c r="L30" s="3" t="str">
        <f ca="1">IF(B31&lt;&gt;"","["&amp;B30&amp;","""&amp;C30&amp;""","&amp;D30&amp;","&amp;E30&amp;","&amp;F30&amp;","&amp;G30&amp;","&amp;H30&amp;","&amp;J30&amp;","&amp;K30&amp;"]","["&amp;B30&amp;","""&amp;C30&amp;""","&amp;D30&amp;","&amp;E30&amp;","&amp;F30&amp;","&amp;G30&amp;","&amp;H30&amp;","&amp;J30&amp;","&amp;K30&amp;"]")</f>
        <v>[4300,"cloud_2",3,309,0.5,0.5,500,3705.552,4894.448]</v>
      </c>
      <c r="N30"/>
      <c r="Q30" s="5" t="s">
        <v>29</v>
      </c>
      <c r="R30" s="5">
        <v>341</v>
      </c>
    </row>
    <row r="31" spans="1:18" x14ac:dyDescent="0.25">
      <c r="A31" s="3">
        <v>29</v>
      </c>
      <c r="B31" s="13">
        <v>4450</v>
      </c>
      <c r="C31" s="14" t="s">
        <v>8</v>
      </c>
      <c r="D31" s="13">
        <v>3</v>
      </c>
      <c r="E31" s="13">
        <f ca="1">RANDBETWEEN(0,800)</f>
        <v>105</v>
      </c>
      <c r="F31" s="15">
        <f>SUMIF($Q$6:$Q$10,D31,$R$6:$R$10)</f>
        <v>0.5</v>
      </c>
      <c r="G31" s="15">
        <f>SUMIF($Q$6:$Q$10,D31,$T$6:$T$10)</f>
        <v>0.5</v>
      </c>
      <c r="H31" s="15">
        <f>SUMIF($Q$6:$Q$10,D31,$S$6:$S$10)</f>
        <v>500</v>
      </c>
      <c r="I31" s="15">
        <f>SUMIF($Q$14:$Q$31,C31,$R$14:$R$31)/2</f>
        <v>70</v>
      </c>
      <c r="J31" s="16">
        <f>ROUND(300+TAN(PI()*20/180)*H31+(600*B31-(600+I31)*(600+2*TAN(PI()*20/180)*H31))/600,3)</f>
        <v>3855.5520000000001</v>
      </c>
      <c r="K31" s="16">
        <f>ROUND(B31+300+TAN(PI()*20/180)*H31+I31*(2*TAN(PI()*20/180)*H31+600)/600,3)</f>
        <v>5044.4480000000003</v>
      </c>
      <c r="L31" s="3" t="str">
        <f ca="1">IF(B32&lt;&gt;"","["&amp;B31&amp;","""&amp;C31&amp;""","&amp;D31&amp;","&amp;E31&amp;","&amp;F31&amp;","&amp;G31&amp;","&amp;H31&amp;","&amp;J31&amp;","&amp;K31&amp;"]","["&amp;B31&amp;","""&amp;C31&amp;""","&amp;D31&amp;","&amp;E31&amp;","&amp;F31&amp;","&amp;G31&amp;","&amp;H31&amp;","&amp;J31&amp;","&amp;K31&amp;"]")</f>
        <v>[4450,"cloud_2",3,105,0.5,0.5,500,3855.552,5044.448]</v>
      </c>
      <c r="N31"/>
      <c r="Q31" s="5"/>
      <c r="R31" s="5"/>
    </row>
    <row r="32" spans="1:18" x14ac:dyDescent="0.25">
      <c r="A32" s="3">
        <v>30</v>
      </c>
      <c r="B32" s="13">
        <v>4600</v>
      </c>
      <c r="C32" s="14" t="s">
        <v>8</v>
      </c>
      <c r="D32" s="13">
        <v>3</v>
      </c>
      <c r="E32" s="13">
        <f ca="1">RANDBETWEEN(0,800)</f>
        <v>316</v>
      </c>
      <c r="F32" s="15">
        <f>SUMIF($Q$6:$Q$10,D32,$R$6:$R$10)</f>
        <v>0.5</v>
      </c>
      <c r="G32" s="15">
        <f>SUMIF($Q$6:$Q$10,D32,$T$6:$T$10)</f>
        <v>0.5</v>
      </c>
      <c r="H32" s="15">
        <f>SUMIF($Q$6:$Q$10,D32,$S$6:$S$10)</f>
        <v>500</v>
      </c>
      <c r="I32" s="15">
        <f>SUMIF($Q$14:$Q$31,C32,$R$14:$R$31)/2</f>
        <v>70</v>
      </c>
      <c r="J32" s="16">
        <f>ROUND(300+TAN(PI()*20/180)*H32+(600*B32-(600+I32)*(600+2*TAN(PI()*20/180)*H32))/600,3)</f>
        <v>4005.5520000000001</v>
      </c>
      <c r="K32" s="16">
        <f>ROUND(B32+300+TAN(PI()*20/180)*H32+I32*(2*TAN(PI()*20/180)*H32+600)/600,3)</f>
        <v>5194.4480000000003</v>
      </c>
      <c r="L32" s="3" t="str">
        <f ca="1">IF(B33&lt;&gt;"","["&amp;B32&amp;","""&amp;C32&amp;""","&amp;D32&amp;","&amp;E32&amp;","&amp;F32&amp;","&amp;G32&amp;","&amp;H32&amp;","&amp;J32&amp;","&amp;K32&amp;"]","["&amp;B32&amp;","""&amp;C32&amp;""","&amp;D32&amp;","&amp;E32&amp;","&amp;F32&amp;","&amp;G32&amp;","&amp;H32&amp;","&amp;J32&amp;","&amp;K32&amp;"]")</f>
        <v>[4600,"cloud_2",3,316,0.5,0.5,500,4005.552,5194.448]</v>
      </c>
      <c r="N32"/>
    </row>
    <row r="33" spans="1:14" x14ac:dyDescent="0.25">
      <c r="A33" s="3">
        <v>31</v>
      </c>
      <c r="B33" s="13">
        <v>4750</v>
      </c>
      <c r="C33" s="14" t="s">
        <v>8</v>
      </c>
      <c r="D33" s="13">
        <v>3</v>
      </c>
      <c r="E33" s="13">
        <f ca="1">RANDBETWEEN(0,800)</f>
        <v>436</v>
      </c>
      <c r="F33" s="15">
        <f>SUMIF($Q$6:$Q$10,D33,$R$6:$R$10)</f>
        <v>0.5</v>
      </c>
      <c r="G33" s="15">
        <f>SUMIF($Q$6:$Q$10,D33,$T$6:$T$10)</f>
        <v>0.5</v>
      </c>
      <c r="H33" s="15">
        <f>SUMIF($Q$6:$Q$10,D33,$S$6:$S$10)</f>
        <v>500</v>
      </c>
      <c r="I33" s="15">
        <f>SUMIF($Q$14:$Q$31,C33,$R$14:$R$31)/2</f>
        <v>70</v>
      </c>
      <c r="J33" s="16">
        <f>ROUND(300+TAN(PI()*20/180)*H33+(600*B33-(600+I33)*(600+2*TAN(PI()*20/180)*H33))/600,3)</f>
        <v>4155.5519999999997</v>
      </c>
      <c r="K33" s="16">
        <f>ROUND(B33+300+TAN(PI()*20/180)*H33+I33*(2*TAN(PI()*20/180)*H33+600)/600,3)</f>
        <v>5344.4480000000003</v>
      </c>
      <c r="L33" s="3" t="str">
        <f ca="1">IF(B34&lt;&gt;"","["&amp;B33&amp;","""&amp;C33&amp;""","&amp;D33&amp;","&amp;E33&amp;","&amp;F33&amp;","&amp;G33&amp;","&amp;H33&amp;","&amp;J33&amp;","&amp;K33&amp;"]","["&amp;B33&amp;","""&amp;C33&amp;""","&amp;D33&amp;","&amp;E33&amp;","&amp;F33&amp;","&amp;G33&amp;","&amp;H33&amp;","&amp;J33&amp;","&amp;K33&amp;"]")</f>
        <v>[4750,"cloud_2",3,436,0.5,0.5,500,4155.552,5344.448]</v>
      </c>
      <c r="N33"/>
    </row>
    <row r="34" spans="1:14" x14ac:dyDescent="0.25">
      <c r="A34" s="3">
        <v>32</v>
      </c>
      <c r="B34" s="13">
        <v>4900</v>
      </c>
      <c r="C34" s="14" t="s">
        <v>8</v>
      </c>
      <c r="D34" s="13">
        <v>3</v>
      </c>
      <c r="E34" s="13">
        <f ca="1">RANDBETWEEN(0,800)</f>
        <v>353</v>
      </c>
      <c r="F34" s="15">
        <f>SUMIF($Q$6:$Q$10,D34,$R$6:$R$10)</f>
        <v>0.5</v>
      </c>
      <c r="G34" s="15">
        <f>SUMIF($Q$6:$Q$10,D34,$T$6:$T$10)</f>
        <v>0.5</v>
      </c>
      <c r="H34" s="15">
        <f>SUMIF($Q$6:$Q$10,D34,$S$6:$S$10)</f>
        <v>500</v>
      </c>
      <c r="I34" s="15">
        <f>SUMIF($Q$14:$Q$31,C34,$R$14:$R$31)/2</f>
        <v>70</v>
      </c>
      <c r="J34" s="16">
        <f>ROUND(300+TAN(PI()*20/180)*H34+(600*B34-(600+I34)*(600+2*TAN(PI()*20/180)*H34))/600,3)</f>
        <v>4305.5519999999997</v>
      </c>
      <c r="K34" s="16">
        <f>ROUND(B34+300+TAN(PI()*20/180)*H34+I34*(2*TAN(PI()*20/180)*H34+600)/600,3)</f>
        <v>5494.4480000000003</v>
      </c>
      <c r="L34" s="3" t="str">
        <f ca="1">IF(B35&lt;&gt;"","["&amp;B34&amp;","""&amp;C34&amp;""","&amp;D34&amp;","&amp;E34&amp;","&amp;F34&amp;","&amp;G34&amp;","&amp;H34&amp;","&amp;J34&amp;","&amp;K34&amp;"]","["&amp;B34&amp;","""&amp;C34&amp;""","&amp;D34&amp;","&amp;E34&amp;","&amp;F34&amp;","&amp;G34&amp;","&amp;H34&amp;","&amp;J34&amp;","&amp;K34&amp;"]")</f>
        <v>[4900,"cloud_2",3,353,0.5,0.5,500,4305.552,5494.448]</v>
      </c>
      <c r="N34"/>
    </row>
    <row r="35" spans="1:14" x14ac:dyDescent="0.25">
      <c r="A35" s="3">
        <v>33</v>
      </c>
      <c r="B35" s="13">
        <v>5050</v>
      </c>
      <c r="C35" s="14" t="s">
        <v>8</v>
      </c>
      <c r="D35" s="13">
        <v>3</v>
      </c>
      <c r="E35" s="13">
        <f ca="1">RANDBETWEEN(0,800)</f>
        <v>376</v>
      </c>
      <c r="F35" s="15">
        <f>SUMIF($Q$6:$Q$10,D35,$R$6:$R$10)</f>
        <v>0.5</v>
      </c>
      <c r="G35" s="15">
        <f>SUMIF($Q$6:$Q$10,D35,$T$6:$T$10)</f>
        <v>0.5</v>
      </c>
      <c r="H35" s="15">
        <f>SUMIF($Q$6:$Q$10,D35,$S$6:$S$10)</f>
        <v>500</v>
      </c>
      <c r="I35" s="15">
        <f>SUMIF($Q$14:$Q$31,C35,$R$14:$R$31)/2</f>
        <v>70</v>
      </c>
      <c r="J35" s="16">
        <f>ROUND(300+TAN(PI()*20/180)*H35+(600*B35-(600+I35)*(600+2*TAN(PI()*20/180)*H35))/600,3)</f>
        <v>4455.5519999999997</v>
      </c>
      <c r="K35" s="16">
        <f>ROUND(B35+300+TAN(PI()*20/180)*H35+I35*(2*TAN(PI()*20/180)*H35+600)/600,3)</f>
        <v>5644.4480000000003</v>
      </c>
      <c r="L35" s="3" t="str">
        <f ca="1">IF(B36&lt;&gt;"","["&amp;B35&amp;","""&amp;C35&amp;""","&amp;D35&amp;","&amp;E35&amp;","&amp;F35&amp;","&amp;G35&amp;","&amp;H35&amp;","&amp;J35&amp;","&amp;K35&amp;"]","["&amp;B35&amp;","""&amp;C35&amp;""","&amp;D35&amp;","&amp;E35&amp;","&amp;F35&amp;","&amp;G35&amp;","&amp;H35&amp;","&amp;J35&amp;","&amp;K35&amp;"]")</f>
        <v>[5050,"cloud_2",3,376,0.5,0.5,500,4455.552,5644.448]</v>
      </c>
      <c r="N35"/>
    </row>
    <row r="36" spans="1:14" x14ac:dyDescent="0.25">
      <c r="A36" s="3">
        <v>34</v>
      </c>
      <c r="B36" s="13">
        <v>5200</v>
      </c>
      <c r="C36" s="14" t="s">
        <v>8</v>
      </c>
      <c r="D36" s="13">
        <v>3</v>
      </c>
      <c r="E36" s="13">
        <f ca="1">RANDBETWEEN(0,800)</f>
        <v>196</v>
      </c>
      <c r="F36" s="15">
        <f>SUMIF($Q$6:$Q$10,D36,$R$6:$R$10)</f>
        <v>0.5</v>
      </c>
      <c r="G36" s="15">
        <f>SUMIF($Q$6:$Q$10,D36,$T$6:$T$10)</f>
        <v>0.5</v>
      </c>
      <c r="H36" s="15">
        <f>SUMIF($Q$6:$Q$10,D36,$S$6:$S$10)</f>
        <v>500</v>
      </c>
      <c r="I36" s="15">
        <f>SUMIF($Q$14:$Q$31,C36,$R$14:$R$31)/2</f>
        <v>70</v>
      </c>
      <c r="J36" s="16">
        <f>ROUND(300+TAN(PI()*20/180)*H36+(600*B36-(600+I36)*(600+2*TAN(PI()*20/180)*H36))/600,3)</f>
        <v>4605.5519999999997</v>
      </c>
      <c r="K36" s="16">
        <f>ROUND(B36+300+TAN(PI()*20/180)*H36+I36*(2*TAN(PI()*20/180)*H36+600)/600,3)</f>
        <v>5794.4480000000003</v>
      </c>
      <c r="L36" s="3" t="str">
        <f ca="1">IF(B37&lt;&gt;"","["&amp;B36&amp;","""&amp;C36&amp;""","&amp;D36&amp;","&amp;E36&amp;","&amp;F36&amp;","&amp;G36&amp;","&amp;H36&amp;","&amp;J36&amp;","&amp;K36&amp;"]","["&amp;B36&amp;","""&amp;C36&amp;""","&amp;D36&amp;","&amp;E36&amp;","&amp;F36&amp;","&amp;G36&amp;","&amp;H36&amp;","&amp;J36&amp;","&amp;K36&amp;"]")</f>
        <v>[5200,"cloud_2",3,196,0.5,0.5,500,4605.552,5794.448]</v>
      </c>
      <c r="N36"/>
    </row>
    <row r="37" spans="1:14" x14ac:dyDescent="0.25">
      <c r="A37" s="3">
        <v>35</v>
      </c>
      <c r="B37" s="13">
        <v>5350</v>
      </c>
      <c r="C37" s="14" t="s">
        <v>8</v>
      </c>
      <c r="D37" s="13">
        <v>3</v>
      </c>
      <c r="E37" s="13">
        <f ca="1">RANDBETWEEN(0,800)</f>
        <v>507</v>
      </c>
      <c r="F37" s="15">
        <f>SUMIF($Q$6:$Q$10,D37,$R$6:$R$10)</f>
        <v>0.5</v>
      </c>
      <c r="G37" s="15">
        <f>SUMIF($Q$6:$Q$10,D37,$T$6:$T$10)</f>
        <v>0.5</v>
      </c>
      <c r="H37" s="15">
        <f>SUMIF($Q$6:$Q$10,D37,$S$6:$S$10)</f>
        <v>500</v>
      </c>
      <c r="I37" s="15">
        <f>SUMIF($Q$14:$Q$31,C37,$R$14:$R$31)/2</f>
        <v>70</v>
      </c>
      <c r="J37" s="16">
        <f>ROUND(300+TAN(PI()*20/180)*H37+(600*B37-(600+I37)*(600+2*TAN(PI()*20/180)*H37))/600,3)</f>
        <v>4755.5519999999997</v>
      </c>
      <c r="K37" s="16">
        <f>ROUND(B37+300+TAN(PI()*20/180)*H37+I37*(2*TAN(PI()*20/180)*H37+600)/600,3)</f>
        <v>5944.4480000000003</v>
      </c>
      <c r="L37" s="3" t="str">
        <f ca="1">IF(B38&lt;&gt;"","["&amp;B37&amp;","""&amp;C37&amp;""","&amp;D37&amp;","&amp;E37&amp;","&amp;F37&amp;","&amp;G37&amp;","&amp;H37&amp;","&amp;J37&amp;","&amp;K37&amp;"]","["&amp;B37&amp;","""&amp;C37&amp;""","&amp;D37&amp;","&amp;E37&amp;","&amp;F37&amp;","&amp;G37&amp;","&amp;H37&amp;","&amp;J37&amp;","&amp;K37&amp;"]")</f>
        <v>[5350,"cloud_2",3,507,0.5,0.5,500,4755.552,5944.448]</v>
      </c>
      <c r="N37"/>
    </row>
    <row r="38" spans="1:14" x14ac:dyDescent="0.25">
      <c r="A38" s="3">
        <v>36</v>
      </c>
      <c r="B38" s="13">
        <v>5500</v>
      </c>
      <c r="C38" s="14" t="s">
        <v>8</v>
      </c>
      <c r="D38" s="13">
        <v>3</v>
      </c>
      <c r="E38" s="13">
        <f ca="1">RANDBETWEEN(0,800)</f>
        <v>533</v>
      </c>
      <c r="F38" s="15">
        <f>SUMIF($Q$6:$Q$10,D38,$R$6:$R$10)</f>
        <v>0.5</v>
      </c>
      <c r="G38" s="15">
        <f>SUMIF($Q$6:$Q$10,D38,$T$6:$T$10)</f>
        <v>0.5</v>
      </c>
      <c r="H38" s="15">
        <f>SUMIF($Q$6:$Q$10,D38,$S$6:$S$10)</f>
        <v>500</v>
      </c>
      <c r="I38" s="15">
        <f>SUMIF($Q$14:$Q$31,C38,$R$14:$R$31)/2</f>
        <v>70</v>
      </c>
      <c r="J38" s="16">
        <f>ROUND(300+TAN(PI()*20/180)*H38+(600*B38-(600+I38)*(600+2*TAN(PI()*20/180)*H38))/600,3)</f>
        <v>4905.5519999999997</v>
      </c>
      <c r="K38" s="16">
        <f>ROUND(B38+300+TAN(PI()*20/180)*H38+I38*(2*TAN(PI()*20/180)*H38+600)/600,3)</f>
        <v>6094.4480000000003</v>
      </c>
      <c r="L38" s="3" t="str">
        <f ca="1">IF(B39&lt;&gt;"","["&amp;B38&amp;","""&amp;C38&amp;""","&amp;D38&amp;","&amp;E38&amp;","&amp;F38&amp;","&amp;G38&amp;","&amp;H38&amp;","&amp;J38&amp;","&amp;K38&amp;"]","["&amp;B38&amp;","""&amp;C38&amp;""","&amp;D38&amp;","&amp;E38&amp;","&amp;F38&amp;","&amp;G38&amp;","&amp;H38&amp;","&amp;J38&amp;","&amp;K38&amp;"]")</f>
        <v>[5500,"cloud_2",3,533,0.5,0.5,500,4905.552,6094.448]</v>
      </c>
      <c r="N38"/>
    </row>
    <row r="39" spans="1:14" x14ac:dyDescent="0.25">
      <c r="A39" s="3">
        <v>37</v>
      </c>
      <c r="B39" s="13">
        <v>5650</v>
      </c>
      <c r="C39" s="14" t="s">
        <v>8</v>
      </c>
      <c r="D39" s="13">
        <v>3</v>
      </c>
      <c r="E39" s="13">
        <f ca="1">RANDBETWEEN(0,800)</f>
        <v>63</v>
      </c>
      <c r="F39" s="15">
        <f>SUMIF($Q$6:$Q$10,D39,$R$6:$R$10)</f>
        <v>0.5</v>
      </c>
      <c r="G39" s="15">
        <f>SUMIF($Q$6:$Q$10,D39,$T$6:$T$10)</f>
        <v>0.5</v>
      </c>
      <c r="H39" s="15">
        <f>SUMIF($Q$6:$Q$10,D39,$S$6:$S$10)</f>
        <v>500</v>
      </c>
      <c r="I39" s="15">
        <f>SUMIF($Q$14:$Q$31,C39,$R$14:$R$31)/2</f>
        <v>70</v>
      </c>
      <c r="J39" s="16">
        <f>ROUND(300+TAN(PI()*20/180)*H39+(600*B39-(600+I39)*(600+2*TAN(PI()*20/180)*H39))/600,3)</f>
        <v>5055.5519999999997</v>
      </c>
      <c r="K39" s="16">
        <f>ROUND(B39+300+TAN(PI()*20/180)*H39+I39*(2*TAN(PI()*20/180)*H39+600)/600,3)</f>
        <v>6244.4480000000003</v>
      </c>
      <c r="L39" s="3" t="str">
        <f ca="1">IF(B40&lt;&gt;"","["&amp;B39&amp;","""&amp;C39&amp;""","&amp;D39&amp;","&amp;E39&amp;","&amp;F39&amp;","&amp;G39&amp;","&amp;H39&amp;","&amp;J39&amp;","&amp;K39&amp;"]","["&amp;B39&amp;","""&amp;C39&amp;""","&amp;D39&amp;","&amp;E39&amp;","&amp;F39&amp;","&amp;G39&amp;","&amp;H39&amp;","&amp;J39&amp;","&amp;K39&amp;"]")</f>
        <v>[5650,"cloud_2",3,63,0.5,0.5,500,5055.552,6244.448]</v>
      </c>
      <c r="N39"/>
    </row>
    <row r="40" spans="1:14" x14ac:dyDescent="0.25">
      <c r="A40" s="3">
        <v>38</v>
      </c>
      <c r="B40" s="13">
        <v>5800</v>
      </c>
      <c r="C40" s="14" t="s">
        <v>8</v>
      </c>
      <c r="D40" s="13">
        <v>3</v>
      </c>
      <c r="E40" s="13">
        <f ca="1">RANDBETWEEN(0,800)</f>
        <v>19</v>
      </c>
      <c r="F40" s="15">
        <f>SUMIF($Q$6:$Q$10,D40,$R$6:$R$10)</f>
        <v>0.5</v>
      </c>
      <c r="G40" s="15">
        <f>SUMIF($Q$6:$Q$10,D40,$T$6:$T$10)</f>
        <v>0.5</v>
      </c>
      <c r="H40" s="15">
        <f>SUMIF($Q$6:$Q$10,D40,$S$6:$S$10)</f>
        <v>500</v>
      </c>
      <c r="I40" s="15">
        <f>SUMIF($Q$14:$Q$31,C40,$R$14:$R$31)/2</f>
        <v>70</v>
      </c>
      <c r="J40" s="16">
        <f>ROUND(300+TAN(PI()*20/180)*H40+(600*B40-(600+I40)*(600+2*TAN(PI()*20/180)*H40))/600,3)</f>
        <v>5205.5519999999997</v>
      </c>
      <c r="K40" s="16">
        <f>ROUND(B40+300+TAN(PI()*20/180)*H40+I40*(2*TAN(PI()*20/180)*H40+600)/600,3)</f>
        <v>6394.4480000000003</v>
      </c>
      <c r="L40" s="3" t="str">
        <f ca="1">IF(B41&lt;&gt;"","["&amp;B40&amp;","""&amp;C40&amp;""","&amp;D40&amp;","&amp;E40&amp;","&amp;F40&amp;","&amp;G40&amp;","&amp;H40&amp;","&amp;J40&amp;","&amp;K40&amp;"]","["&amp;B40&amp;","""&amp;C40&amp;""","&amp;D40&amp;","&amp;E40&amp;","&amp;F40&amp;","&amp;G40&amp;","&amp;H40&amp;","&amp;J40&amp;","&amp;K40&amp;"]")</f>
        <v>[5800,"cloud_2",3,19,0.5,0.5,500,5205.552,6394.448]</v>
      </c>
      <c r="N40"/>
    </row>
    <row r="41" spans="1:14" x14ac:dyDescent="0.25">
      <c r="A41" s="3">
        <v>39</v>
      </c>
      <c r="B41" s="13">
        <v>5950</v>
      </c>
      <c r="C41" s="14" t="s">
        <v>8</v>
      </c>
      <c r="D41" s="13">
        <v>3</v>
      </c>
      <c r="E41" s="13">
        <f ca="1">RANDBETWEEN(0,800)</f>
        <v>81</v>
      </c>
      <c r="F41" s="15">
        <f>SUMIF($Q$6:$Q$10,D41,$R$6:$R$10)</f>
        <v>0.5</v>
      </c>
      <c r="G41" s="15">
        <f>SUMIF($Q$6:$Q$10,D41,$T$6:$T$10)</f>
        <v>0.5</v>
      </c>
      <c r="H41" s="15">
        <f>SUMIF($Q$6:$Q$10,D41,$S$6:$S$10)</f>
        <v>500</v>
      </c>
      <c r="I41" s="15">
        <f>SUMIF($Q$14:$Q$31,C41,$R$14:$R$31)/2</f>
        <v>70</v>
      </c>
      <c r="J41" s="16">
        <f>ROUND(300+TAN(PI()*20/180)*H41+(600*B41-(600+I41)*(600+2*TAN(PI()*20/180)*H41))/600,3)</f>
        <v>5355.5519999999997</v>
      </c>
      <c r="K41" s="16">
        <f>ROUND(B41+300+TAN(PI()*20/180)*H41+I41*(2*TAN(PI()*20/180)*H41+600)/600,3)</f>
        <v>6544.4480000000003</v>
      </c>
      <c r="L41" s="3" t="str">
        <f ca="1">IF(B42&lt;&gt;"","["&amp;B41&amp;","""&amp;C41&amp;""","&amp;D41&amp;","&amp;E41&amp;","&amp;F41&amp;","&amp;G41&amp;","&amp;H41&amp;","&amp;J41&amp;","&amp;K41&amp;"]","["&amp;B41&amp;","""&amp;C41&amp;""","&amp;D41&amp;","&amp;E41&amp;","&amp;F41&amp;","&amp;G41&amp;","&amp;H41&amp;","&amp;J41&amp;","&amp;K41&amp;"]")</f>
        <v>[5950,"cloud_2",3,81,0.5,0.5,500,5355.552,6544.448]</v>
      </c>
      <c r="N41"/>
    </row>
    <row r="42" spans="1:14" x14ac:dyDescent="0.25">
      <c r="A42" s="3">
        <v>40</v>
      </c>
      <c r="B42" s="13">
        <v>6100</v>
      </c>
      <c r="C42" s="14" t="s">
        <v>8</v>
      </c>
      <c r="D42" s="13">
        <v>3</v>
      </c>
      <c r="E42" s="13">
        <f ca="1">RANDBETWEEN(0,800)</f>
        <v>474</v>
      </c>
      <c r="F42" s="15">
        <f>SUMIF($Q$6:$Q$10,D42,$R$6:$R$10)</f>
        <v>0.5</v>
      </c>
      <c r="G42" s="15">
        <f>SUMIF($Q$6:$Q$10,D42,$T$6:$T$10)</f>
        <v>0.5</v>
      </c>
      <c r="H42" s="15">
        <f>SUMIF($Q$6:$Q$10,D42,$S$6:$S$10)</f>
        <v>500</v>
      </c>
      <c r="I42" s="15">
        <f>SUMIF($Q$14:$Q$31,C42,$R$14:$R$31)/2</f>
        <v>70</v>
      </c>
      <c r="J42" s="16">
        <f>ROUND(300+TAN(PI()*20/180)*H42+(600*B42-(600+I42)*(600+2*TAN(PI()*20/180)*H42))/600,3)</f>
        <v>5505.5519999999997</v>
      </c>
      <c r="K42" s="16">
        <f>ROUND(B42+300+TAN(PI()*20/180)*H42+I42*(2*TAN(PI()*20/180)*H42+600)/600,3)</f>
        <v>6694.4480000000003</v>
      </c>
      <c r="L42" s="3" t="str">
        <f ca="1">IF(B43&lt;&gt;"","["&amp;B42&amp;","""&amp;C42&amp;""","&amp;D42&amp;","&amp;E42&amp;","&amp;F42&amp;","&amp;G42&amp;","&amp;H42&amp;","&amp;J42&amp;","&amp;K42&amp;"]","["&amp;B42&amp;","""&amp;C42&amp;""","&amp;D42&amp;","&amp;E42&amp;","&amp;F42&amp;","&amp;G42&amp;","&amp;H42&amp;","&amp;J42&amp;","&amp;K42&amp;"]")</f>
        <v>[6100,"cloud_2",3,474,0.5,0.5,500,5505.552,6694.448]</v>
      </c>
      <c r="N42"/>
    </row>
    <row r="43" spans="1:14" x14ac:dyDescent="0.25">
      <c r="A43" s="3">
        <v>41</v>
      </c>
      <c r="B43" s="13">
        <v>6250</v>
      </c>
      <c r="C43" s="14" t="s">
        <v>8</v>
      </c>
      <c r="D43" s="13">
        <v>3</v>
      </c>
      <c r="E43" s="13">
        <f ca="1">RANDBETWEEN(0,800)</f>
        <v>18</v>
      </c>
      <c r="F43" s="15">
        <f>SUMIF($Q$6:$Q$10,D43,$R$6:$R$10)</f>
        <v>0.5</v>
      </c>
      <c r="G43" s="15">
        <f>SUMIF($Q$6:$Q$10,D43,$T$6:$T$10)</f>
        <v>0.5</v>
      </c>
      <c r="H43" s="15">
        <f>SUMIF($Q$6:$Q$10,D43,$S$6:$S$10)</f>
        <v>500</v>
      </c>
      <c r="I43" s="15">
        <f>SUMIF($Q$14:$Q$31,C43,$R$14:$R$31)/2</f>
        <v>70</v>
      </c>
      <c r="J43" s="16">
        <f>ROUND(300+TAN(PI()*20/180)*H43+(600*B43-(600+I43)*(600+2*TAN(PI()*20/180)*H43))/600,3)</f>
        <v>5655.5519999999997</v>
      </c>
      <c r="K43" s="16">
        <f>ROUND(B43+300+TAN(PI()*20/180)*H43+I43*(2*TAN(PI()*20/180)*H43+600)/600,3)</f>
        <v>6844.4480000000003</v>
      </c>
      <c r="L43" s="3" t="str">
        <f ca="1">IF(B44&lt;&gt;"","["&amp;B43&amp;","""&amp;C43&amp;""","&amp;D43&amp;","&amp;E43&amp;","&amp;F43&amp;","&amp;G43&amp;","&amp;H43&amp;","&amp;J43&amp;","&amp;K43&amp;"]","["&amp;B43&amp;","""&amp;C43&amp;""","&amp;D43&amp;","&amp;E43&amp;","&amp;F43&amp;","&amp;G43&amp;","&amp;H43&amp;","&amp;J43&amp;","&amp;K43&amp;"]")</f>
        <v>[6250,"cloud_2",3,18,0.5,0.5,500,5655.552,6844.448]</v>
      </c>
      <c r="N43"/>
    </row>
    <row r="44" spans="1:14" x14ac:dyDescent="0.25">
      <c r="A44" s="3">
        <v>42</v>
      </c>
      <c r="B44" s="13">
        <v>6400</v>
      </c>
      <c r="C44" s="14" t="s">
        <v>8</v>
      </c>
      <c r="D44" s="13">
        <v>3</v>
      </c>
      <c r="E44" s="13">
        <f ca="1">RANDBETWEEN(0,800)</f>
        <v>511</v>
      </c>
      <c r="F44" s="15">
        <f>SUMIF($Q$6:$Q$10,D44,$R$6:$R$10)</f>
        <v>0.5</v>
      </c>
      <c r="G44" s="15">
        <f>SUMIF($Q$6:$Q$10,D44,$T$6:$T$10)</f>
        <v>0.5</v>
      </c>
      <c r="H44" s="15">
        <f>SUMIF($Q$6:$Q$10,D44,$S$6:$S$10)</f>
        <v>500</v>
      </c>
      <c r="I44" s="15">
        <f>SUMIF($Q$14:$Q$31,C44,$R$14:$R$31)/2</f>
        <v>70</v>
      </c>
      <c r="J44" s="16">
        <f>ROUND(300+TAN(PI()*20/180)*H44+(600*B44-(600+I44)*(600+2*TAN(PI()*20/180)*H44))/600,3)</f>
        <v>5805.5519999999997</v>
      </c>
      <c r="K44" s="16">
        <f>ROUND(B44+300+TAN(PI()*20/180)*H44+I44*(2*TAN(PI()*20/180)*H44+600)/600,3)</f>
        <v>6994.4480000000003</v>
      </c>
      <c r="L44" s="3" t="str">
        <f ca="1">IF(B45&lt;&gt;"","["&amp;B44&amp;","""&amp;C44&amp;""","&amp;D44&amp;","&amp;E44&amp;","&amp;F44&amp;","&amp;G44&amp;","&amp;H44&amp;","&amp;J44&amp;","&amp;K44&amp;"]","["&amp;B44&amp;","""&amp;C44&amp;""","&amp;D44&amp;","&amp;E44&amp;","&amp;F44&amp;","&amp;G44&amp;","&amp;H44&amp;","&amp;J44&amp;","&amp;K44&amp;"]")</f>
        <v>[6400,"cloud_2",3,511,0.5,0.5,500,5805.552,6994.448]</v>
      </c>
      <c r="N44"/>
    </row>
    <row r="45" spans="1:14" x14ac:dyDescent="0.25">
      <c r="A45" s="3">
        <v>43</v>
      </c>
      <c r="B45" s="13">
        <v>6550</v>
      </c>
      <c r="C45" s="14" t="s">
        <v>8</v>
      </c>
      <c r="D45" s="13">
        <v>3</v>
      </c>
      <c r="E45" s="13">
        <f ca="1">RANDBETWEEN(0,800)</f>
        <v>560</v>
      </c>
      <c r="F45" s="15">
        <f>SUMIF($Q$6:$Q$10,D45,$R$6:$R$10)</f>
        <v>0.5</v>
      </c>
      <c r="G45" s="15">
        <f>SUMIF($Q$6:$Q$10,D45,$T$6:$T$10)</f>
        <v>0.5</v>
      </c>
      <c r="H45" s="15">
        <f>SUMIF($Q$6:$Q$10,D45,$S$6:$S$10)</f>
        <v>500</v>
      </c>
      <c r="I45" s="15">
        <f>SUMIF($Q$14:$Q$31,C45,$R$14:$R$31)/2</f>
        <v>70</v>
      </c>
      <c r="J45" s="16">
        <f>ROUND(300+TAN(PI()*20/180)*H45+(600*B45-(600+I45)*(600+2*TAN(PI()*20/180)*H45))/600,3)</f>
        <v>5955.5519999999997</v>
      </c>
      <c r="K45" s="16">
        <f>ROUND(B45+300+TAN(PI()*20/180)*H45+I45*(2*TAN(PI()*20/180)*H45+600)/600,3)</f>
        <v>7144.4480000000003</v>
      </c>
      <c r="L45" s="3" t="str">
        <f ca="1">IF(B46&lt;&gt;"","["&amp;B45&amp;","""&amp;C45&amp;""","&amp;D45&amp;","&amp;E45&amp;","&amp;F45&amp;","&amp;G45&amp;","&amp;H45&amp;","&amp;J45&amp;","&amp;K45&amp;"]","["&amp;B45&amp;","""&amp;C45&amp;""","&amp;D45&amp;","&amp;E45&amp;","&amp;F45&amp;","&amp;G45&amp;","&amp;H45&amp;","&amp;J45&amp;","&amp;K45&amp;"]")</f>
        <v>[6550,"cloud_2",3,560,0.5,0.5,500,5955.552,7144.448]</v>
      </c>
      <c r="N45"/>
    </row>
    <row r="46" spans="1:14" x14ac:dyDescent="0.25">
      <c r="A46" s="3">
        <v>44</v>
      </c>
      <c r="B46" s="13">
        <v>6700</v>
      </c>
      <c r="C46" s="14" t="s">
        <v>8</v>
      </c>
      <c r="D46" s="13">
        <v>3</v>
      </c>
      <c r="E46" s="13">
        <f ca="1">RANDBETWEEN(0,800)</f>
        <v>518</v>
      </c>
      <c r="F46" s="15">
        <f>SUMIF($Q$6:$Q$10,D46,$R$6:$R$10)</f>
        <v>0.5</v>
      </c>
      <c r="G46" s="15">
        <f>SUMIF($Q$6:$Q$10,D46,$T$6:$T$10)</f>
        <v>0.5</v>
      </c>
      <c r="H46" s="15">
        <f>SUMIF($Q$6:$Q$10,D46,$S$6:$S$10)</f>
        <v>500</v>
      </c>
      <c r="I46" s="15">
        <f>SUMIF($Q$14:$Q$31,C46,$R$14:$R$31)/2</f>
        <v>70</v>
      </c>
      <c r="J46" s="16">
        <f>ROUND(300+TAN(PI()*20/180)*H46+(600*B46-(600+I46)*(600+2*TAN(PI()*20/180)*H46))/600,3)</f>
        <v>6105.5519999999997</v>
      </c>
      <c r="K46" s="16">
        <f>ROUND(B46+300+TAN(PI()*20/180)*H46+I46*(2*TAN(PI()*20/180)*H46+600)/600,3)</f>
        <v>7294.4480000000003</v>
      </c>
      <c r="L46" s="3" t="str">
        <f ca="1">IF(B47&lt;&gt;"","["&amp;B46&amp;","""&amp;C46&amp;""","&amp;D46&amp;","&amp;E46&amp;","&amp;F46&amp;","&amp;G46&amp;","&amp;H46&amp;","&amp;J46&amp;","&amp;K46&amp;"]","["&amp;B46&amp;","""&amp;C46&amp;""","&amp;D46&amp;","&amp;E46&amp;","&amp;F46&amp;","&amp;G46&amp;","&amp;H46&amp;","&amp;J46&amp;","&amp;K46&amp;"]")</f>
        <v>[6700,"cloud_2",3,518,0.5,0.5,500,6105.552,7294.448]</v>
      </c>
      <c r="N46"/>
    </row>
    <row r="47" spans="1:14" x14ac:dyDescent="0.25">
      <c r="A47" s="3">
        <v>45</v>
      </c>
      <c r="B47" s="13">
        <v>6850</v>
      </c>
      <c r="C47" s="14" t="s">
        <v>8</v>
      </c>
      <c r="D47" s="13">
        <v>3</v>
      </c>
      <c r="E47" s="13">
        <f ca="1">RANDBETWEEN(0,800)</f>
        <v>78</v>
      </c>
      <c r="F47" s="15">
        <f>SUMIF($Q$6:$Q$10,D47,$R$6:$R$10)</f>
        <v>0.5</v>
      </c>
      <c r="G47" s="15">
        <f>SUMIF($Q$6:$Q$10,D47,$T$6:$T$10)</f>
        <v>0.5</v>
      </c>
      <c r="H47" s="15">
        <f>SUMIF($Q$6:$Q$10,D47,$S$6:$S$10)</f>
        <v>500</v>
      </c>
      <c r="I47" s="15">
        <f>SUMIF($Q$14:$Q$31,C47,$R$14:$R$31)/2</f>
        <v>70</v>
      </c>
      <c r="J47" s="16">
        <f>ROUND(300+TAN(PI()*20/180)*H47+(600*B47-(600+I47)*(600+2*TAN(PI()*20/180)*H47))/600,3)</f>
        <v>6255.5519999999997</v>
      </c>
      <c r="K47" s="16">
        <f>ROUND(B47+300+TAN(PI()*20/180)*H47+I47*(2*TAN(PI()*20/180)*H47+600)/600,3)</f>
        <v>7444.4480000000003</v>
      </c>
      <c r="L47" s="3" t="str">
        <f ca="1">IF(B48&lt;&gt;"","["&amp;B47&amp;","""&amp;C47&amp;""","&amp;D47&amp;","&amp;E47&amp;","&amp;F47&amp;","&amp;G47&amp;","&amp;H47&amp;","&amp;J47&amp;","&amp;K47&amp;"]","["&amp;B47&amp;","""&amp;C47&amp;""","&amp;D47&amp;","&amp;E47&amp;","&amp;F47&amp;","&amp;G47&amp;","&amp;H47&amp;","&amp;J47&amp;","&amp;K47&amp;"]")</f>
        <v>[6850,"cloud_2",3,78,0.5,0.5,500,6255.552,7444.448]</v>
      </c>
      <c r="N47"/>
    </row>
    <row r="48" spans="1:14" x14ac:dyDescent="0.25">
      <c r="A48" s="3">
        <v>46</v>
      </c>
      <c r="B48" s="13">
        <v>7000</v>
      </c>
      <c r="C48" s="14" t="s">
        <v>8</v>
      </c>
      <c r="D48" s="13">
        <v>3</v>
      </c>
      <c r="E48" s="13">
        <f ca="1">RANDBETWEEN(0,800)</f>
        <v>659</v>
      </c>
      <c r="F48" s="15">
        <f>SUMIF($Q$6:$Q$10,D48,$R$6:$R$10)</f>
        <v>0.5</v>
      </c>
      <c r="G48" s="15">
        <f>SUMIF($Q$6:$Q$10,D48,$T$6:$T$10)</f>
        <v>0.5</v>
      </c>
      <c r="H48" s="15">
        <f>SUMIF($Q$6:$Q$10,D48,$S$6:$S$10)</f>
        <v>500</v>
      </c>
      <c r="I48" s="15">
        <f>SUMIF($Q$14:$Q$31,C48,$R$14:$R$31)/2</f>
        <v>70</v>
      </c>
      <c r="J48" s="16">
        <f>ROUND(300+TAN(PI()*20/180)*H48+(600*B48-(600+I48)*(600+2*TAN(PI()*20/180)*H48))/600,3)</f>
        <v>6405.5519999999997</v>
      </c>
      <c r="K48" s="16">
        <f>ROUND(B48+300+TAN(PI()*20/180)*H48+I48*(2*TAN(PI()*20/180)*H48+600)/600,3)</f>
        <v>7594.4480000000003</v>
      </c>
      <c r="L48" s="3" t="str">
        <f ca="1">IF(B49&lt;&gt;"","["&amp;B48&amp;","""&amp;C48&amp;""","&amp;D48&amp;","&amp;E48&amp;","&amp;F48&amp;","&amp;G48&amp;","&amp;H48&amp;","&amp;J48&amp;","&amp;K48&amp;"]","["&amp;B48&amp;","""&amp;C48&amp;""","&amp;D48&amp;","&amp;E48&amp;","&amp;F48&amp;","&amp;G48&amp;","&amp;H48&amp;","&amp;J48&amp;","&amp;K48&amp;"]")</f>
        <v>[7000,"cloud_2",3,659,0.5,0.5,500,6405.552,7594.448]</v>
      </c>
      <c r="N48"/>
    </row>
    <row r="49" spans="1:14" x14ac:dyDescent="0.25">
      <c r="A49" s="3">
        <v>47</v>
      </c>
      <c r="B49" s="13">
        <v>7150</v>
      </c>
      <c r="C49" s="14" t="s">
        <v>8</v>
      </c>
      <c r="D49" s="13">
        <v>3</v>
      </c>
      <c r="E49" s="13">
        <f ca="1">RANDBETWEEN(0,800)</f>
        <v>178</v>
      </c>
      <c r="F49" s="15">
        <f>SUMIF($Q$6:$Q$10,D49,$R$6:$R$10)</f>
        <v>0.5</v>
      </c>
      <c r="G49" s="15">
        <f>SUMIF($Q$6:$Q$10,D49,$T$6:$T$10)</f>
        <v>0.5</v>
      </c>
      <c r="H49" s="15">
        <f>SUMIF($Q$6:$Q$10,D49,$S$6:$S$10)</f>
        <v>500</v>
      </c>
      <c r="I49" s="15">
        <f>SUMIF($Q$14:$Q$31,C49,$R$14:$R$31)/2</f>
        <v>70</v>
      </c>
      <c r="J49" s="16">
        <f>ROUND(300+TAN(PI()*20/180)*H49+(600*B49-(600+I49)*(600+2*TAN(PI()*20/180)*H49))/600,3)</f>
        <v>6555.5519999999997</v>
      </c>
      <c r="K49" s="16">
        <f>ROUND(B49+300+TAN(PI()*20/180)*H49+I49*(2*TAN(PI()*20/180)*H49+600)/600,3)</f>
        <v>7744.4480000000003</v>
      </c>
      <c r="L49" s="3" t="str">
        <f ca="1">IF(B50&lt;&gt;"","["&amp;B49&amp;","""&amp;C49&amp;""","&amp;D49&amp;","&amp;E49&amp;","&amp;F49&amp;","&amp;G49&amp;","&amp;H49&amp;","&amp;J49&amp;","&amp;K49&amp;"]","["&amp;B49&amp;","""&amp;C49&amp;""","&amp;D49&amp;","&amp;E49&amp;","&amp;F49&amp;","&amp;G49&amp;","&amp;H49&amp;","&amp;J49&amp;","&amp;K49&amp;"]")</f>
        <v>[7150,"cloud_2",3,178,0.5,0.5,500,6555.552,7744.448]</v>
      </c>
      <c r="N49"/>
    </row>
    <row r="50" spans="1:14" x14ac:dyDescent="0.25">
      <c r="A50" s="3">
        <v>48</v>
      </c>
      <c r="B50" s="13">
        <v>7300</v>
      </c>
      <c r="C50" s="14" t="s">
        <v>8</v>
      </c>
      <c r="D50" s="13">
        <v>3</v>
      </c>
      <c r="E50" s="13">
        <f ca="1">RANDBETWEEN(0,800)</f>
        <v>352</v>
      </c>
      <c r="F50" s="15">
        <f>SUMIF($Q$6:$Q$10,D50,$R$6:$R$10)</f>
        <v>0.5</v>
      </c>
      <c r="G50" s="15">
        <f>SUMIF($Q$6:$Q$10,D50,$T$6:$T$10)</f>
        <v>0.5</v>
      </c>
      <c r="H50" s="15">
        <f>SUMIF($Q$6:$Q$10,D50,$S$6:$S$10)</f>
        <v>500</v>
      </c>
      <c r="I50" s="15">
        <f>SUMIF($Q$14:$Q$31,C50,$R$14:$R$31)/2</f>
        <v>70</v>
      </c>
      <c r="J50" s="16">
        <f>ROUND(300+TAN(PI()*20/180)*H50+(600*B50-(600+I50)*(600+2*TAN(PI()*20/180)*H50))/600,3)</f>
        <v>6705.5519999999997</v>
      </c>
      <c r="K50" s="16">
        <f>ROUND(B50+300+TAN(PI()*20/180)*H50+I50*(2*TAN(PI()*20/180)*H50+600)/600,3)</f>
        <v>7894.4480000000003</v>
      </c>
      <c r="L50" s="3" t="str">
        <f ca="1">IF(B51&lt;&gt;"","["&amp;B50&amp;","""&amp;C50&amp;""","&amp;D50&amp;","&amp;E50&amp;","&amp;F50&amp;","&amp;G50&amp;","&amp;H50&amp;","&amp;J50&amp;","&amp;K50&amp;"]","["&amp;B50&amp;","""&amp;C50&amp;""","&amp;D50&amp;","&amp;E50&amp;","&amp;F50&amp;","&amp;G50&amp;","&amp;H50&amp;","&amp;J50&amp;","&amp;K50&amp;"]")</f>
        <v>[7300,"cloud_2",3,352,0.5,0.5,500,6705.552,7894.448]</v>
      </c>
      <c r="N50"/>
    </row>
    <row r="51" spans="1:14" x14ac:dyDescent="0.25">
      <c r="A51" s="3">
        <v>49</v>
      </c>
      <c r="B51" s="13">
        <v>7450</v>
      </c>
      <c r="C51" s="14" t="s">
        <v>8</v>
      </c>
      <c r="D51" s="13">
        <v>3</v>
      </c>
      <c r="E51" s="13">
        <f ca="1">RANDBETWEEN(0,800)</f>
        <v>664</v>
      </c>
      <c r="F51" s="15">
        <f>SUMIF($Q$6:$Q$10,D51,$R$6:$R$10)</f>
        <v>0.5</v>
      </c>
      <c r="G51" s="15">
        <f>SUMIF($Q$6:$Q$10,D51,$T$6:$T$10)</f>
        <v>0.5</v>
      </c>
      <c r="H51" s="15">
        <f>SUMIF($Q$6:$Q$10,D51,$S$6:$S$10)</f>
        <v>500</v>
      </c>
      <c r="I51" s="15">
        <f>SUMIF($Q$14:$Q$31,C51,$R$14:$R$31)/2</f>
        <v>70</v>
      </c>
      <c r="J51" s="16">
        <f>ROUND(300+TAN(PI()*20/180)*H51+(600*B51-(600+I51)*(600+2*TAN(PI()*20/180)*H51))/600,3)</f>
        <v>6855.5519999999997</v>
      </c>
      <c r="K51" s="16">
        <f>ROUND(B51+300+TAN(PI()*20/180)*H51+I51*(2*TAN(PI()*20/180)*H51+600)/600,3)</f>
        <v>8044.4480000000003</v>
      </c>
      <c r="L51" s="3" t="str">
        <f ca="1">IF(B52&lt;&gt;"","["&amp;B51&amp;","""&amp;C51&amp;""","&amp;D51&amp;","&amp;E51&amp;","&amp;F51&amp;","&amp;G51&amp;","&amp;H51&amp;","&amp;J51&amp;","&amp;K51&amp;"]","["&amp;B51&amp;","""&amp;C51&amp;""","&amp;D51&amp;","&amp;E51&amp;","&amp;F51&amp;","&amp;G51&amp;","&amp;H51&amp;","&amp;J51&amp;","&amp;K51&amp;"]")</f>
        <v>[7450,"cloud_2",3,664,0.5,0.5,500,6855.552,8044.448]</v>
      </c>
      <c r="N51"/>
    </row>
    <row r="52" spans="1:14" x14ac:dyDescent="0.25">
      <c r="A52" s="3">
        <v>50</v>
      </c>
      <c r="B52" s="13">
        <v>7600</v>
      </c>
      <c r="C52" s="14" t="s">
        <v>8</v>
      </c>
      <c r="D52" s="13">
        <v>3</v>
      </c>
      <c r="E52" s="13">
        <f ca="1">RANDBETWEEN(0,800)</f>
        <v>562</v>
      </c>
      <c r="F52" s="15">
        <f>SUMIF($Q$6:$Q$10,D52,$R$6:$R$10)</f>
        <v>0.5</v>
      </c>
      <c r="G52" s="15">
        <f>SUMIF($Q$6:$Q$10,D52,$T$6:$T$10)</f>
        <v>0.5</v>
      </c>
      <c r="H52" s="15">
        <f>SUMIF($Q$6:$Q$10,D52,$S$6:$S$10)</f>
        <v>500</v>
      </c>
      <c r="I52" s="15">
        <f>SUMIF($Q$14:$Q$31,C52,$R$14:$R$31)/2</f>
        <v>70</v>
      </c>
      <c r="J52" s="16">
        <f>ROUND(300+TAN(PI()*20/180)*H52+(600*B52-(600+I52)*(600+2*TAN(PI()*20/180)*H52))/600,3)</f>
        <v>7005.5519999999997</v>
      </c>
      <c r="K52" s="16">
        <f>ROUND(B52+300+TAN(PI()*20/180)*H52+I52*(2*TAN(PI()*20/180)*H52+600)/600,3)</f>
        <v>8194.4480000000003</v>
      </c>
      <c r="L52" s="3" t="str">
        <f ca="1">IF(B53&lt;&gt;"","["&amp;B52&amp;","""&amp;C52&amp;""","&amp;D52&amp;","&amp;E52&amp;","&amp;F52&amp;","&amp;G52&amp;","&amp;H52&amp;","&amp;J52&amp;","&amp;K52&amp;"]","["&amp;B52&amp;","""&amp;C52&amp;""","&amp;D52&amp;","&amp;E52&amp;","&amp;F52&amp;","&amp;G52&amp;","&amp;H52&amp;","&amp;J52&amp;","&amp;K52&amp;"]")</f>
        <v>[7600,"cloud_2",3,562,0.5,0.5,500,7005.552,8194.448]</v>
      </c>
      <c r="N52"/>
    </row>
    <row r="53" spans="1:14" x14ac:dyDescent="0.25">
      <c r="A53" s="3">
        <v>51</v>
      </c>
      <c r="B53" s="13">
        <v>7750</v>
      </c>
      <c r="C53" s="14" t="s">
        <v>8</v>
      </c>
      <c r="D53" s="13">
        <v>3</v>
      </c>
      <c r="E53" s="13">
        <f ca="1">RANDBETWEEN(0,800)</f>
        <v>603</v>
      </c>
      <c r="F53" s="15">
        <f>SUMIF($Q$6:$Q$10,D53,$R$6:$R$10)</f>
        <v>0.5</v>
      </c>
      <c r="G53" s="15">
        <f>SUMIF($Q$6:$Q$10,D53,$T$6:$T$10)</f>
        <v>0.5</v>
      </c>
      <c r="H53" s="15">
        <f>SUMIF($Q$6:$Q$10,D53,$S$6:$S$10)</f>
        <v>500</v>
      </c>
      <c r="I53" s="15">
        <f>SUMIF($Q$14:$Q$31,C53,$R$14:$R$31)/2</f>
        <v>70</v>
      </c>
      <c r="J53" s="16">
        <f>ROUND(300+TAN(PI()*20/180)*H53+(600*B53-(600+I53)*(600+2*TAN(PI()*20/180)*H53))/600,3)</f>
        <v>7155.5519999999997</v>
      </c>
      <c r="K53" s="16">
        <f>ROUND(B53+300+TAN(PI()*20/180)*H53+I53*(2*TAN(PI()*20/180)*H53+600)/600,3)</f>
        <v>8344.4480000000003</v>
      </c>
      <c r="L53" s="3" t="str">
        <f ca="1">IF(B54&lt;&gt;"","["&amp;B53&amp;","""&amp;C53&amp;""","&amp;D53&amp;","&amp;E53&amp;","&amp;F53&amp;","&amp;G53&amp;","&amp;H53&amp;","&amp;J53&amp;","&amp;K53&amp;"]","["&amp;B53&amp;","""&amp;C53&amp;""","&amp;D53&amp;","&amp;E53&amp;","&amp;F53&amp;","&amp;G53&amp;","&amp;H53&amp;","&amp;J53&amp;","&amp;K53&amp;"]")</f>
        <v>[7750,"cloud_2",3,603,0.5,0.5,500,7155.552,8344.448]</v>
      </c>
      <c r="N53"/>
    </row>
    <row r="54" spans="1:14" x14ac:dyDescent="0.25">
      <c r="A54" s="3">
        <v>52</v>
      </c>
      <c r="B54" s="13">
        <v>12000</v>
      </c>
      <c r="C54" s="13" t="s">
        <v>35</v>
      </c>
      <c r="D54" s="13">
        <v>1</v>
      </c>
      <c r="E54" s="13">
        <v>400</v>
      </c>
      <c r="F54" s="15">
        <v>0.3</v>
      </c>
      <c r="G54" s="15">
        <f>SUMIF($Q$6:$Q$10,D54,$T$6:$T$10)</f>
        <v>1</v>
      </c>
      <c r="H54" s="15">
        <f>SUMIF($Q$6:$Q$10,D54,$S$6:$S$10)</f>
        <v>5000</v>
      </c>
      <c r="I54" s="15">
        <f>SUMIF($Q$14:$Q$31,C54,$R$14:$R$31)/2</f>
        <v>217</v>
      </c>
      <c r="J54" s="16">
        <f>ROUND(300+TAN(PI()*20/180)*H54+(600*B54-(600+I54)*(600+2*TAN(PI()*20/180)*H54))/600,3)</f>
        <v>8346.7900000000009</v>
      </c>
      <c r="K54" s="16">
        <f>ROUND(B54+300+TAN(PI()*20/180)*H54+I54*(2*TAN(PI()*20/180)*H54+600)/600,3)</f>
        <v>15653.21</v>
      </c>
      <c r="L54" s="3" t="str">
        <f>IF(B55&lt;&gt;"","["&amp;B54&amp;","""&amp;C54&amp;""","&amp;D54&amp;","&amp;E54&amp;","&amp;F54&amp;","&amp;G54&amp;","&amp;H54&amp;","&amp;J54&amp;","&amp;K54&amp;"]","["&amp;B54&amp;","""&amp;C54&amp;""","&amp;D54&amp;","&amp;E54&amp;","&amp;F54&amp;","&amp;G54&amp;","&amp;H54&amp;","&amp;J54&amp;","&amp;K54&amp;"]")</f>
        <v>[12000,"saturn",1,400,0.3,1,5000,8346.79,15653.21]</v>
      </c>
      <c r="N54"/>
    </row>
    <row r="55" spans="1:14" x14ac:dyDescent="0.25">
      <c r="A55" s="3">
        <v>53</v>
      </c>
      <c r="B55" s="13">
        <v>20000</v>
      </c>
      <c r="C55" s="14" t="s">
        <v>29</v>
      </c>
      <c r="D55" s="13">
        <v>1</v>
      </c>
      <c r="E55" s="13">
        <v>400</v>
      </c>
      <c r="F55" s="15">
        <v>0.3</v>
      </c>
      <c r="G55" s="15">
        <f>SUMIF($Q$6:$Q$10,D55,$T$6:$T$10)</f>
        <v>1</v>
      </c>
      <c r="H55" s="15">
        <f>SUMIF($Q$6:$Q$10,D55,$S$6:$S$10)</f>
        <v>5000</v>
      </c>
      <c r="I55" s="15">
        <f>SUMIF($Q$14:$Q$31,C55,$R$14:$R$31)/2</f>
        <v>170.5</v>
      </c>
      <c r="J55" s="16">
        <f>ROUND(300+TAN(PI()*20/180)*H55+(600*B55-(600+I55)*(600+2*TAN(PI()*20/180)*H55))/600,3)</f>
        <v>16675.366999999998</v>
      </c>
      <c r="K55" s="16">
        <f>ROUND(B55+300+TAN(PI()*20/180)*H55+I55*(2*TAN(PI()*20/180)*H55+600)/600,3)</f>
        <v>23324.633000000002</v>
      </c>
      <c r="L55" s="3" t="str">
        <f>IF(B56&lt;&gt;"","["&amp;B55&amp;","""&amp;C55&amp;""","&amp;D55&amp;","&amp;E55&amp;","&amp;F55&amp;","&amp;G55&amp;","&amp;H55&amp;","&amp;J55&amp;","&amp;K55&amp;"]","["&amp;B55&amp;","""&amp;C55&amp;""","&amp;D55&amp;","&amp;E55&amp;","&amp;F55&amp;","&amp;G55&amp;","&amp;H55&amp;","&amp;J55&amp;","&amp;K55&amp;"]")</f>
        <v>[20000,"big_ship",1,400,0.3,1,5000,16675.367,23324.633]</v>
      </c>
      <c r="N55"/>
    </row>
    <row r="56" spans="1:14" x14ac:dyDescent="0.25">
      <c r="A56" s="3">
        <v>55</v>
      </c>
      <c r="B56" s="13">
        <v>24350</v>
      </c>
      <c r="C56" s="14" t="s">
        <v>51</v>
      </c>
      <c r="D56" s="13">
        <v>3</v>
      </c>
      <c r="E56" s="13">
        <f ca="1">RANDBETWEEN(0,800)</f>
        <v>449</v>
      </c>
      <c r="F56" s="15">
        <f>SUMIF($Q$6:$Q$10,D56,$R$6:$R$10)</f>
        <v>0.5</v>
      </c>
      <c r="G56" s="15">
        <f>SUMIF($Q$6:$Q$10,D56,$T$6:$T$10)</f>
        <v>0.5</v>
      </c>
      <c r="H56" s="15">
        <f>SUMIF($Q$6:$Q$10,D56,$S$6:$S$10)</f>
        <v>500</v>
      </c>
      <c r="I56" s="15">
        <f>SUMIF($Q$14:$Q$31,C56,$R$14:$R$31)/2</f>
        <v>284</v>
      </c>
      <c r="J56" s="16">
        <f>ROUND(300+TAN(PI()*20/180)*H56+(600*B56-(600+I56)*(600+2*TAN(PI()*20/180)*H56))/600,3)</f>
        <v>23411.736000000001</v>
      </c>
      <c r="K56" s="16">
        <f>ROUND(B56+300+TAN(PI()*20/180)*H56+I56*(2*TAN(PI()*20/180)*H56+600)/600,3)</f>
        <v>25288.263999999999</v>
      </c>
      <c r="L56" s="3" t="str">
        <f ca="1">IF(B57&lt;&gt;"","["&amp;B56&amp;","""&amp;C56&amp;""","&amp;D56&amp;","&amp;E56&amp;","&amp;F56&amp;","&amp;G56&amp;","&amp;H56&amp;","&amp;J56&amp;","&amp;K56&amp;"]","["&amp;B56&amp;","""&amp;C56&amp;""","&amp;D56&amp;","&amp;E56&amp;","&amp;F56&amp;","&amp;G56&amp;","&amp;H56&amp;","&amp;J56&amp;","&amp;K56&amp;"]")</f>
        <v>[24350,"belt_1",3,449,0.5,0.5,500,23411.736,25288.264]</v>
      </c>
      <c r="N56"/>
    </row>
    <row r="57" spans="1:14" x14ac:dyDescent="0.25">
      <c r="A57" s="3">
        <v>56</v>
      </c>
      <c r="B57" s="13">
        <v>24700</v>
      </c>
      <c r="C57" s="14" t="s">
        <v>50</v>
      </c>
      <c r="D57" s="13">
        <v>3</v>
      </c>
      <c r="E57" s="13">
        <f ca="1">RANDBETWEEN(0,800)</f>
        <v>17</v>
      </c>
      <c r="F57" s="15">
        <f>SUMIF($Q$6:$Q$10,D57,$R$6:$R$10)</f>
        <v>0.5</v>
      </c>
      <c r="G57" s="15">
        <f>SUMIF($Q$6:$Q$10,D57,$T$6:$T$10)</f>
        <v>0.5</v>
      </c>
      <c r="H57" s="15">
        <f>SUMIF($Q$6:$Q$10,D57,$S$6:$S$10)</f>
        <v>500</v>
      </c>
      <c r="I57" s="15">
        <f>SUMIF($Q$14:$Q$31,C57,$R$14:$R$31)/2</f>
        <v>405</v>
      </c>
      <c r="J57" s="16">
        <f>ROUND(300+TAN(PI()*20/180)*H57+(600*B57-(600+I57)*(600+2*TAN(PI()*20/180)*H57))/600,3)</f>
        <v>23567.334999999999</v>
      </c>
      <c r="K57" s="16">
        <f>ROUND(B57+300+TAN(PI()*20/180)*H57+I57*(2*TAN(PI()*20/180)*H57+600)/600,3)</f>
        <v>25832.665000000001</v>
      </c>
      <c r="L57" s="3" t="str">
        <f ca="1">IF(B58&lt;&gt;"","["&amp;B57&amp;","""&amp;C57&amp;""","&amp;D57&amp;","&amp;E57&amp;","&amp;F57&amp;","&amp;G57&amp;","&amp;H57&amp;","&amp;J57&amp;","&amp;K57&amp;"]","["&amp;B57&amp;","""&amp;C57&amp;""","&amp;D57&amp;","&amp;E57&amp;","&amp;F57&amp;","&amp;G57&amp;","&amp;H57&amp;","&amp;J57&amp;","&amp;K57&amp;"]")</f>
        <v>[24700,"belt_0",3,17,0.5,0.5,500,23567.335,25832.665]</v>
      </c>
      <c r="N57"/>
    </row>
    <row r="58" spans="1:14" x14ac:dyDescent="0.25">
      <c r="A58" s="3">
        <v>57</v>
      </c>
      <c r="B58" s="13">
        <v>25050</v>
      </c>
      <c r="C58" s="14" t="s">
        <v>51</v>
      </c>
      <c r="D58" s="13">
        <v>3</v>
      </c>
      <c r="E58" s="13">
        <f ca="1">RANDBETWEEN(0,800)</f>
        <v>326</v>
      </c>
      <c r="F58" s="15">
        <f>SUMIF($Q$6:$Q$10,D58,$R$6:$R$10)</f>
        <v>0.5</v>
      </c>
      <c r="G58" s="15">
        <f>SUMIF($Q$6:$Q$10,D58,$T$6:$T$10)</f>
        <v>0.5</v>
      </c>
      <c r="H58" s="15">
        <f>SUMIF($Q$6:$Q$10,D58,$S$6:$S$10)</f>
        <v>500</v>
      </c>
      <c r="I58" s="15">
        <f>SUMIF($Q$14:$Q$31,C58,$R$14:$R$31)/2</f>
        <v>284</v>
      </c>
      <c r="J58" s="16">
        <f>ROUND(300+TAN(PI()*20/180)*H58+(600*B58-(600+I58)*(600+2*TAN(PI()*20/180)*H58))/600,3)</f>
        <v>24111.736000000001</v>
      </c>
      <c r="K58" s="16">
        <f>ROUND(B58+300+TAN(PI()*20/180)*H58+I58*(2*TAN(PI()*20/180)*H58+600)/600,3)</f>
        <v>25988.263999999999</v>
      </c>
      <c r="L58" s="3" t="str">
        <f ca="1">IF(B59&lt;&gt;"","["&amp;B58&amp;","""&amp;C58&amp;""","&amp;D58&amp;","&amp;E58&amp;","&amp;F58&amp;","&amp;G58&amp;","&amp;H58&amp;","&amp;J58&amp;","&amp;K58&amp;"]","["&amp;B58&amp;","""&amp;C58&amp;""","&amp;D58&amp;","&amp;E58&amp;","&amp;F58&amp;","&amp;G58&amp;","&amp;H58&amp;","&amp;J58&amp;","&amp;K58&amp;"]")</f>
        <v>[25050,"belt_1",3,326,0.5,0.5,500,24111.736,25988.264]</v>
      </c>
      <c r="N58"/>
    </row>
    <row r="59" spans="1:14" x14ac:dyDescent="0.25">
      <c r="A59" s="3">
        <v>58</v>
      </c>
      <c r="B59" s="13">
        <v>25400</v>
      </c>
      <c r="C59" s="14" t="s">
        <v>50</v>
      </c>
      <c r="D59" s="13">
        <v>3</v>
      </c>
      <c r="E59" s="13">
        <f ca="1">RANDBETWEEN(0,800)</f>
        <v>374</v>
      </c>
      <c r="F59" s="15">
        <f>SUMIF($Q$6:$Q$10,D59,$R$6:$R$10)</f>
        <v>0.5</v>
      </c>
      <c r="G59" s="15">
        <f>SUMIF($Q$6:$Q$10,D59,$T$6:$T$10)</f>
        <v>0.5</v>
      </c>
      <c r="H59" s="15">
        <f>SUMIF($Q$6:$Q$10,D59,$S$6:$S$10)</f>
        <v>500</v>
      </c>
      <c r="I59" s="15">
        <f>SUMIF($Q$14:$Q$31,C59,$R$14:$R$31)/2</f>
        <v>405</v>
      </c>
      <c r="J59" s="16">
        <f>ROUND(300+TAN(PI()*20/180)*H59+(600*B59-(600+I59)*(600+2*TAN(PI()*20/180)*H59))/600,3)</f>
        <v>24267.334999999999</v>
      </c>
      <c r="K59" s="16">
        <f>ROUND(B59+300+TAN(PI()*20/180)*H59+I59*(2*TAN(PI()*20/180)*H59+600)/600,3)</f>
        <v>26532.665000000001</v>
      </c>
      <c r="L59" s="3" t="str">
        <f ca="1">IF(B60&lt;&gt;"","["&amp;B59&amp;","""&amp;C59&amp;""","&amp;D59&amp;","&amp;E59&amp;","&amp;F59&amp;","&amp;G59&amp;","&amp;H59&amp;","&amp;J59&amp;","&amp;K59&amp;"]","["&amp;B59&amp;","""&amp;C59&amp;""","&amp;D59&amp;","&amp;E59&amp;","&amp;F59&amp;","&amp;G59&amp;","&amp;H59&amp;","&amp;J59&amp;","&amp;K59&amp;"]")</f>
        <v>[25400,"belt_0",3,374,0.5,0.5,500,24267.335,26532.665]</v>
      </c>
      <c r="N59"/>
    </row>
    <row r="60" spans="1:14" x14ac:dyDescent="0.25">
      <c r="A60" s="3">
        <v>59</v>
      </c>
      <c r="B60" s="13">
        <v>25750</v>
      </c>
      <c r="C60" s="14" t="s">
        <v>52</v>
      </c>
      <c r="D60" s="13">
        <v>3</v>
      </c>
      <c r="E60" s="13">
        <f ca="1">RANDBETWEEN(0,800)</f>
        <v>253</v>
      </c>
      <c r="F60" s="15">
        <f>SUMIF($Q$6:$Q$10,D60,$R$6:$R$10)</f>
        <v>0.5</v>
      </c>
      <c r="G60" s="15">
        <f>SUMIF($Q$6:$Q$10,D60,$T$6:$T$10)</f>
        <v>0.5</v>
      </c>
      <c r="H60" s="15">
        <f>SUMIF($Q$6:$Q$10,D60,$S$6:$S$10)</f>
        <v>500</v>
      </c>
      <c r="I60" s="15">
        <f>SUMIF($Q$14:$Q$31,C60,$R$14:$R$31)/2</f>
        <v>405</v>
      </c>
      <c r="J60" s="16">
        <f>ROUND(300+TAN(PI()*20/180)*H60+(600*B60-(600+I60)*(600+2*TAN(PI()*20/180)*H60))/600,3)</f>
        <v>24617.334999999999</v>
      </c>
      <c r="K60" s="16">
        <f>ROUND(B60+300+TAN(PI()*20/180)*H60+I60*(2*TAN(PI()*20/180)*H60+600)/600,3)</f>
        <v>26882.665000000001</v>
      </c>
      <c r="L60" s="3" t="str">
        <f ca="1">IF(B61&lt;&gt;"","["&amp;B60&amp;","""&amp;C60&amp;""","&amp;D60&amp;","&amp;E60&amp;","&amp;F60&amp;","&amp;G60&amp;","&amp;H60&amp;","&amp;J60&amp;","&amp;K60&amp;"]","["&amp;B60&amp;","""&amp;C60&amp;""","&amp;D60&amp;","&amp;E60&amp;","&amp;F60&amp;","&amp;G60&amp;","&amp;H60&amp;","&amp;J60&amp;","&amp;K60&amp;"]")</f>
        <v>[25750,"belt_2",3,253,0.5,0.5,500,24617.335,26882.665]</v>
      </c>
      <c r="N60"/>
    </row>
    <row r="61" spans="1:14" x14ac:dyDescent="0.25">
      <c r="A61" s="3">
        <v>60</v>
      </c>
      <c r="B61" s="13">
        <v>26100</v>
      </c>
      <c r="C61" s="14" t="s">
        <v>50</v>
      </c>
      <c r="D61" s="13">
        <v>3</v>
      </c>
      <c r="E61" s="13">
        <f ca="1">RANDBETWEEN(0,800)</f>
        <v>143</v>
      </c>
      <c r="F61" s="15">
        <f>SUMIF($Q$6:$Q$10,D61,$R$6:$R$10)</f>
        <v>0.5</v>
      </c>
      <c r="G61" s="15">
        <f>SUMIF($Q$6:$Q$10,D61,$T$6:$T$10)</f>
        <v>0.5</v>
      </c>
      <c r="H61" s="15">
        <f>SUMIF($Q$6:$Q$10,D61,$S$6:$S$10)</f>
        <v>500</v>
      </c>
      <c r="I61" s="15">
        <f>SUMIF($Q$14:$Q$31,C61,$R$14:$R$31)/2</f>
        <v>405</v>
      </c>
      <c r="J61" s="16">
        <f>ROUND(300+TAN(PI()*20/180)*H61+(600*B61-(600+I61)*(600+2*TAN(PI()*20/180)*H61))/600,3)</f>
        <v>24967.334999999999</v>
      </c>
      <c r="K61" s="16">
        <f>ROUND(B61+300+TAN(PI()*20/180)*H61+I61*(2*TAN(PI()*20/180)*H61+600)/600,3)</f>
        <v>27232.665000000001</v>
      </c>
      <c r="L61" s="3" t="str">
        <f ca="1">IF(B62&lt;&gt;"","["&amp;B61&amp;","""&amp;C61&amp;""","&amp;D61&amp;","&amp;E61&amp;","&amp;F61&amp;","&amp;G61&amp;","&amp;H61&amp;","&amp;J61&amp;","&amp;K61&amp;"]","["&amp;B61&amp;","""&amp;C61&amp;""","&amp;D61&amp;","&amp;E61&amp;","&amp;F61&amp;","&amp;G61&amp;","&amp;H61&amp;","&amp;J61&amp;","&amp;K61&amp;"]")</f>
        <v>[26100,"belt_0",3,143,0.5,0.5,500,24967.335,27232.665]</v>
      </c>
      <c r="N61"/>
    </row>
    <row r="62" spans="1:14" x14ac:dyDescent="0.25">
      <c r="A62" s="3">
        <v>61</v>
      </c>
      <c r="B62" s="13">
        <v>26450</v>
      </c>
      <c r="C62" s="14" t="s">
        <v>51</v>
      </c>
      <c r="D62" s="13">
        <v>3</v>
      </c>
      <c r="E62" s="13">
        <f ca="1">RANDBETWEEN(0,800)</f>
        <v>666</v>
      </c>
      <c r="F62" s="15">
        <f>SUMIF($Q$6:$Q$10,D62,$R$6:$R$10)</f>
        <v>0.5</v>
      </c>
      <c r="G62" s="15">
        <f>SUMIF($Q$6:$Q$10,D62,$T$6:$T$10)</f>
        <v>0.5</v>
      </c>
      <c r="H62" s="15">
        <f>SUMIF($Q$6:$Q$10,D62,$S$6:$S$10)</f>
        <v>500</v>
      </c>
      <c r="I62" s="15">
        <f>SUMIF($Q$14:$Q$31,C62,$R$14:$R$31)/2</f>
        <v>284</v>
      </c>
      <c r="J62" s="16">
        <f>ROUND(300+TAN(PI()*20/180)*H62+(600*B62-(600+I62)*(600+2*TAN(PI()*20/180)*H62))/600,3)</f>
        <v>25511.736000000001</v>
      </c>
      <c r="K62" s="16">
        <f>ROUND(B62+300+TAN(PI()*20/180)*H62+I62*(2*TAN(PI()*20/180)*H62+600)/600,3)</f>
        <v>27388.263999999999</v>
      </c>
      <c r="L62" s="3" t="str">
        <f ca="1">IF(B63&lt;&gt;"","["&amp;B62&amp;","""&amp;C62&amp;""","&amp;D62&amp;","&amp;E62&amp;","&amp;F62&amp;","&amp;G62&amp;","&amp;H62&amp;","&amp;J62&amp;","&amp;K62&amp;"]","["&amp;B62&amp;","""&amp;C62&amp;""","&amp;D62&amp;","&amp;E62&amp;","&amp;F62&amp;","&amp;G62&amp;","&amp;H62&amp;","&amp;J62&amp;","&amp;K62&amp;"]")</f>
        <v>[26450,"belt_1",3,666,0.5,0.5,500,25511.736,27388.264]</v>
      </c>
      <c r="N62"/>
    </row>
    <row r="63" spans="1:14" x14ac:dyDescent="0.25">
      <c r="A63" s="3">
        <v>62</v>
      </c>
      <c r="B63" s="13">
        <v>26800</v>
      </c>
      <c r="C63" s="14" t="s">
        <v>52</v>
      </c>
      <c r="D63" s="13">
        <v>3</v>
      </c>
      <c r="E63" s="13">
        <f ca="1">RANDBETWEEN(0,800)</f>
        <v>775</v>
      </c>
      <c r="F63" s="15">
        <f>SUMIF($Q$6:$Q$10,D63,$R$6:$R$10)</f>
        <v>0.5</v>
      </c>
      <c r="G63" s="15">
        <f>SUMIF($Q$6:$Q$10,D63,$T$6:$T$10)</f>
        <v>0.5</v>
      </c>
      <c r="H63" s="15">
        <f>SUMIF($Q$6:$Q$10,D63,$S$6:$S$10)</f>
        <v>500</v>
      </c>
      <c r="I63" s="15">
        <f>SUMIF($Q$14:$Q$31,C63,$R$14:$R$31)/2</f>
        <v>405</v>
      </c>
      <c r="J63" s="16">
        <f>ROUND(300+TAN(PI()*20/180)*H63+(600*B63-(600+I63)*(600+2*TAN(PI()*20/180)*H63))/600,3)</f>
        <v>25667.334999999999</v>
      </c>
      <c r="K63" s="16">
        <f>ROUND(B63+300+TAN(PI()*20/180)*H63+I63*(2*TAN(PI()*20/180)*H63+600)/600,3)</f>
        <v>27932.665000000001</v>
      </c>
      <c r="L63" s="3" t="str">
        <f ca="1">IF(B64&lt;&gt;"","["&amp;B63&amp;","""&amp;C63&amp;""","&amp;D63&amp;","&amp;E63&amp;","&amp;F63&amp;","&amp;G63&amp;","&amp;H63&amp;","&amp;J63&amp;","&amp;K63&amp;"]","["&amp;B63&amp;","""&amp;C63&amp;""","&amp;D63&amp;","&amp;E63&amp;","&amp;F63&amp;","&amp;G63&amp;","&amp;H63&amp;","&amp;J63&amp;","&amp;K63&amp;"]")</f>
        <v>[26800,"belt_2",3,775,0.5,0.5,500,25667.335,27932.665]</v>
      </c>
      <c r="N63"/>
    </row>
    <row r="64" spans="1:14" x14ac:dyDescent="0.25">
      <c r="A64" s="3">
        <v>63</v>
      </c>
      <c r="B64" s="13">
        <v>27150</v>
      </c>
      <c r="C64" s="14" t="s">
        <v>51</v>
      </c>
      <c r="D64" s="13">
        <v>3</v>
      </c>
      <c r="E64" s="13">
        <f ca="1">RANDBETWEEN(0,800)</f>
        <v>500</v>
      </c>
      <c r="F64" s="15">
        <f>SUMIF($Q$6:$Q$10,D64,$R$6:$R$10)</f>
        <v>0.5</v>
      </c>
      <c r="G64" s="15">
        <f>SUMIF($Q$6:$Q$10,D64,$T$6:$T$10)</f>
        <v>0.5</v>
      </c>
      <c r="H64" s="15">
        <f>SUMIF($Q$6:$Q$10,D64,$S$6:$S$10)</f>
        <v>500</v>
      </c>
      <c r="I64" s="15">
        <f>SUMIF($Q$14:$Q$31,C64,$R$14:$R$31)/2</f>
        <v>284</v>
      </c>
      <c r="J64" s="16">
        <f>ROUND(300+TAN(PI()*20/180)*H64+(600*B64-(600+I64)*(600+2*TAN(PI()*20/180)*H64))/600,3)</f>
        <v>26211.736000000001</v>
      </c>
      <c r="K64" s="16">
        <f>ROUND(B64+300+TAN(PI()*20/180)*H64+I64*(2*TAN(PI()*20/180)*H64+600)/600,3)</f>
        <v>28088.263999999999</v>
      </c>
      <c r="L64" s="3" t="str">
        <f ca="1">IF(B65&lt;&gt;"","["&amp;B64&amp;","""&amp;C64&amp;""","&amp;D64&amp;","&amp;E64&amp;","&amp;F64&amp;","&amp;G64&amp;","&amp;H64&amp;","&amp;J64&amp;","&amp;K64&amp;"]","["&amp;B64&amp;","""&amp;C64&amp;""","&amp;D64&amp;","&amp;E64&amp;","&amp;F64&amp;","&amp;G64&amp;","&amp;H64&amp;","&amp;J64&amp;","&amp;K64&amp;"]")</f>
        <v>[27150,"belt_1",3,500,0.5,0.5,500,26211.736,28088.264]</v>
      </c>
      <c r="N64"/>
    </row>
    <row r="65" spans="1:14" x14ac:dyDescent="0.25">
      <c r="A65" s="3">
        <v>64</v>
      </c>
      <c r="B65" s="13">
        <v>27500</v>
      </c>
      <c r="C65" s="14" t="s">
        <v>50</v>
      </c>
      <c r="D65" s="13">
        <v>3</v>
      </c>
      <c r="E65" s="13">
        <f ca="1">RANDBETWEEN(0,800)</f>
        <v>328</v>
      </c>
      <c r="F65" s="15">
        <f>SUMIF($Q$6:$Q$10,D65,$R$6:$R$10)</f>
        <v>0.5</v>
      </c>
      <c r="G65" s="15">
        <f>SUMIF($Q$6:$Q$10,D65,$T$6:$T$10)</f>
        <v>0.5</v>
      </c>
      <c r="H65" s="15">
        <f>SUMIF($Q$6:$Q$10,D65,$S$6:$S$10)</f>
        <v>500</v>
      </c>
      <c r="I65" s="15">
        <f>SUMIF($Q$14:$Q$31,C65,$R$14:$R$31)/2</f>
        <v>405</v>
      </c>
      <c r="J65" s="16">
        <f>ROUND(300+TAN(PI()*20/180)*H65+(600*B65-(600+I65)*(600+2*TAN(PI()*20/180)*H65))/600,3)</f>
        <v>26367.334999999999</v>
      </c>
      <c r="K65" s="16">
        <f>ROUND(B65+300+TAN(PI()*20/180)*H65+I65*(2*TAN(PI()*20/180)*H65+600)/600,3)</f>
        <v>28632.665000000001</v>
      </c>
      <c r="L65" s="3" t="str">
        <f ca="1">IF(B66&lt;&gt;"","["&amp;B65&amp;","""&amp;C65&amp;""","&amp;D65&amp;","&amp;E65&amp;","&amp;F65&amp;","&amp;G65&amp;","&amp;H65&amp;","&amp;J65&amp;","&amp;K65&amp;"]","["&amp;B65&amp;","""&amp;C65&amp;""","&amp;D65&amp;","&amp;E65&amp;","&amp;F65&amp;","&amp;G65&amp;","&amp;H65&amp;","&amp;J65&amp;","&amp;K65&amp;"]")</f>
        <v>[27500,"belt_0",3,328,0.5,0.5,500,26367.335,28632.665]</v>
      </c>
      <c r="N65"/>
    </row>
    <row r="66" spans="1:14" x14ac:dyDescent="0.25">
      <c r="A66" s="3">
        <v>65</v>
      </c>
      <c r="B66" s="13">
        <v>27850</v>
      </c>
      <c r="C66" s="14" t="s">
        <v>50</v>
      </c>
      <c r="D66" s="13">
        <v>3</v>
      </c>
      <c r="E66" s="13">
        <f ca="1">RANDBETWEEN(0,800)</f>
        <v>90</v>
      </c>
      <c r="F66" s="15">
        <f>SUMIF($Q$6:$Q$10,D66,$R$6:$R$10)</f>
        <v>0.5</v>
      </c>
      <c r="G66" s="15">
        <f>SUMIF($Q$6:$Q$10,D66,$T$6:$T$10)</f>
        <v>0.5</v>
      </c>
      <c r="H66" s="15">
        <f>SUMIF($Q$6:$Q$10,D66,$S$6:$S$10)</f>
        <v>500</v>
      </c>
      <c r="I66" s="15">
        <f>SUMIF($Q$14:$Q$31,C66,$R$14:$R$31)/2</f>
        <v>405</v>
      </c>
      <c r="J66" s="16">
        <f>ROUND(300+TAN(PI()*20/180)*H66+(600*B66-(600+I66)*(600+2*TAN(PI()*20/180)*H66))/600,3)</f>
        <v>26717.334999999999</v>
      </c>
      <c r="K66" s="16">
        <f>ROUND(B66+300+TAN(PI()*20/180)*H66+I66*(2*TAN(PI()*20/180)*H66+600)/600,3)</f>
        <v>28982.665000000001</v>
      </c>
      <c r="L66" s="3" t="str">
        <f ca="1">IF(B67&lt;&gt;"","["&amp;B66&amp;","""&amp;C66&amp;""","&amp;D66&amp;","&amp;E66&amp;","&amp;F66&amp;","&amp;G66&amp;","&amp;H66&amp;","&amp;J66&amp;","&amp;K66&amp;"]","["&amp;B66&amp;","""&amp;C66&amp;""","&amp;D66&amp;","&amp;E66&amp;","&amp;F66&amp;","&amp;G66&amp;","&amp;H66&amp;","&amp;J66&amp;","&amp;K66&amp;"]")</f>
        <v>[27850,"belt_0",3,90,0.5,0.5,500,26717.335,28982.665]</v>
      </c>
      <c r="N66"/>
    </row>
    <row r="67" spans="1:14" x14ac:dyDescent="0.25">
      <c r="A67" s="3">
        <v>54</v>
      </c>
      <c r="B67" s="13">
        <v>28000</v>
      </c>
      <c r="C67" s="13" t="s">
        <v>33</v>
      </c>
      <c r="D67" s="13">
        <v>1</v>
      </c>
      <c r="E67" s="13">
        <v>400</v>
      </c>
      <c r="F67" s="15">
        <v>0.3</v>
      </c>
      <c r="G67" s="15">
        <f>SUMIF($Q$6:$Q$10,D67,$T$6:$T$10)</f>
        <v>1</v>
      </c>
      <c r="H67" s="15">
        <f>SUMIF($Q$6:$Q$10,D67,$S$6:$S$10)</f>
        <v>5000</v>
      </c>
      <c r="I67" s="15">
        <f>SUMIF($Q$14:$Q$31,C67,$R$14:$R$31)/2</f>
        <v>384</v>
      </c>
      <c r="J67" s="16">
        <f>ROUND(300+TAN(PI()*20/180)*H67+(600*B67-(600+I67)*(600+2*TAN(PI()*20/180)*H67))/600,3)</f>
        <v>23166.739000000001</v>
      </c>
      <c r="K67" s="16">
        <f>ROUND(B67+300+TAN(PI()*20/180)*H67+I67*(2*TAN(PI()*20/180)*H67+600)/600,3)</f>
        <v>32833.260999999999</v>
      </c>
      <c r="L67" s="3" t="str">
        <f>IF(B68&lt;&gt;"","["&amp;B67&amp;","""&amp;C67&amp;""","&amp;D67&amp;","&amp;E67&amp;","&amp;F67&amp;","&amp;G67&amp;","&amp;H67&amp;","&amp;J67&amp;","&amp;K67&amp;"]","["&amp;B67&amp;","""&amp;C67&amp;""","&amp;D67&amp;","&amp;E67&amp;","&amp;F67&amp;","&amp;G67&amp;","&amp;H67&amp;","&amp;J67&amp;","&amp;K67&amp;"]")</f>
        <v>[28000,"iss",1,400,0.3,1,5000,23166.739,32833.261]</v>
      </c>
      <c r="N67"/>
    </row>
    <row r="68" spans="1:14" x14ac:dyDescent="0.25">
      <c r="A68" s="3">
        <v>66</v>
      </c>
      <c r="B68" s="13">
        <v>28200</v>
      </c>
      <c r="C68" s="14" t="s">
        <v>50</v>
      </c>
      <c r="D68" s="13">
        <v>3</v>
      </c>
      <c r="E68" s="13">
        <f ca="1">RANDBETWEEN(0,800)</f>
        <v>424</v>
      </c>
      <c r="F68" s="15">
        <f>SUMIF($Q$6:$Q$10,D68,$R$6:$R$10)</f>
        <v>0.5</v>
      </c>
      <c r="G68" s="15">
        <f>SUMIF($Q$6:$Q$10,D68,$T$6:$T$10)</f>
        <v>0.5</v>
      </c>
      <c r="H68" s="15">
        <f>SUMIF($Q$6:$Q$10,D68,$S$6:$S$10)</f>
        <v>500</v>
      </c>
      <c r="I68" s="15">
        <f>SUMIF($Q$14:$Q$31,C68,$R$14:$R$31)/2</f>
        <v>405</v>
      </c>
      <c r="J68" s="16">
        <f>ROUND(300+TAN(PI()*20/180)*H68+(600*B68-(600+I68)*(600+2*TAN(PI()*20/180)*H68))/600,3)</f>
        <v>27067.334999999999</v>
      </c>
      <c r="K68" s="16">
        <f>ROUND(B68+300+TAN(PI()*20/180)*H68+I68*(2*TAN(PI()*20/180)*H68+600)/600,3)</f>
        <v>29332.665000000001</v>
      </c>
      <c r="L68" s="3" t="str">
        <f ca="1">IF(B69&lt;&gt;"","["&amp;B68&amp;","""&amp;C68&amp;""","&amp;D68&amp;","&amp;E68&amp;","&amp;F68&amp;","&amp;G68&amp;","&amp;H68&amp;","&amp;J68&amp;","&amp;K68&amp;"]","["&amp;B68&amp;","""&amp;C68&amp;""","&amp;D68&amp;","&amp;E68&amp;","&amp;F68&amp;","&amp;G68&amp;","&amp;H68&amp;","&amp;J68&amp;","&amp;K68&amp;"]")</f>
        <v>[28200,"belt_0",3,424,0.5,0.5,500,27067.335,29332.665]</v>
      </c>
      <c r="N68"/>
    </row>
    <row r="69" spans="1:14" x14ac:dyDescent="0.25">
      <c r="A69" s="3">
        <v>67</v>
      </c>
      <c r="B69" s="13">
        <v>28550</v>
      </c>
      <c r="C69" s="14" t="s">
        <v>51</v>
      </c>
      <c r="D69" s="13">
        <v>3</v>
      </c>
      <c r="E69" s="13">
        <f ca="1">RANDBETWEEN(0,800)</f>
        <v>797</v>
      </c>
      <c r="F69" s="15">
        <f>SUMIF($Q$6:$Q$10,D69,$R$6:$R$10)</f>
        <v>0.5</v>
      </c>
      <c r="G69" s="15">
        <f>SUMIF($Q$6:$Q$10,D69,$T$6:$T$10)</f>
        <v>0.5</v>
      </c>
      <c r="H69" s="15">
        <f>SUMIF($Q$6:$Q$10,D69,$S$6:$S$10)</f>
        <v>500</v>
      </c>
      <c r="I69" s="15">
        <f>SUMIF($Q$14:$Q$31,C69,$R$14:$R$31)/2</f>
        <v>284</v>
      </c>
      <c r="J69" s="16">
        <f>ROUND(300+TAN(PI()*20/180)*H69+(600*B69-(600+I69)*(600+2*TAN(PI()*20/180)*H69))/600,3)</f>
        <v>27611.736000000001</v>
      </c>
      <c r="K69" s="16">
        <f>ROUND(B69+300+TAN(PI()*20/180)*H69+I69*(2*TAN(PI()*20/180)*H69+600)/600,3)</f>
        <v>29488.263999999999</v>
      </c>
      <c r="L69" s="3" t="str">
        <f ca="1">IF(B70&lt;&gt;"","["&amp;B69&amp;","""&amp;C69&amp;""","&amp;D69&amp;","&amp;E69&amp;","&amp;F69&amp;","&amp;G69&amp;","&amp;H69&amp;","&amp;J69&amp;","&amp;K69&amp;"]","["&amp;B69&amp;","""&amp;C69&amp;""","&amp;D69&amp;","&amp;E69&amp;","&amp;F69&amp;","&amp;G69&amp;","&amp;H69&amp;","&amp;J69&amp;","&amp;K69&amp;"]")</f>
        <v>[28550,"belt_1",3,797,0.5,0.5,500,27611.736,29488.264]</v>
      </c>
      <c r="N69"/>
    </row>
    <row r="70" spans="1:14" x14ac:dyDescent="0.25">
      <c r="A70" s="3">
        <v>68</v>
      </c>
      <c r="B70" s="13">
        <v>28900</v>
      </c>
      <c r="C70" s="14" t="s">
        <v>50</v>
      </c>
      <c r="D70" s="13">
        <v>3</v>
      </c>
      <c r="E70" s="13">
        <f ca="1">RANDBETWEEN(0,800)</f>
        <v>623</v>
      </c>
      <c r="F70" s="15">
        <f>SUMIF($Q$6:$Q$10,D70,$R$6:$R$10)</f>
        <v>0.5</v>
      </c>
      <c r="G70" s="15">
        <f>SUMIF($Q$6:$Q$10,D70,$T$6:$T$10)</f>
        <v>0.5</v>
      </c>
      <c r="H70" s="15">
        <f>SUMIF($Q$6:$Q$10,D70,$S$6:$S$10)</f>
        <v>500</v>
      </c>
      <c r="I70" s="15">
        <f>SUMIF($Q$14:$Q$31,C70,$R$14:$R$31)/2</f>
        <v>405</v>
      </c>
      <c r="J70" s="16">
        <f>ROUND(300+TAN(PI()*20/180)*H70+(600*B70-(600+I70)*(600+2*TAN(PI()*20/180)*H70))/600,3)</f>
        <v>27767.334999999999</v>
      </c>
      <c r="K70" s="16">
        <f>ROUND(B70+300+TAN(PI()*20/180)*H70+I70*(2*TAN(PI()*20/180)*H70+600)/600,3)</f>
        <v>30032.665000000001</v>
      </c>
      <c r="L70" s="3" t="str">
        <f ca="1">IF(B71&lt;&gt;"","["&amp;B70&amp;","""&amp;C70&amp;""","&amp;D70&amp;","&amp;E70&amp;","&amp;F70&amp;","&amp;G70&amp;","&amp;H70&amp;","&amp;J70&amp;","&amp;K70&amp;"]","["&amp;B70&amp;","""&amp;C70&amp;""","&amp;D70&amp;","&amp;E70&amp;","&amp;F70&amp;","&amp;G70&amp;","&amp;H70&amp;","&amp;J70&amp;","&amp;K70&amp;"]")</f>
        <v>[28900,"belt_0",3,623,0.5,0.5,500,27767.335,30032.665]</v>
      </c>
      <c r="N70"/>
    </row>
    <row r="71" spans="1:14" x14ac:dyDescent="0.25">
      <c r="A71" s="3">
        <v>69</v>
      </c>
      <c r="B71" s="13">
        <v>29250</v>
      </c>
      <c r="C71" s="14" t="s">
        <v>51</v>
      </c>
      <c r="D71" s="13">
        <v>3</v>
      </c>
      <c r="E71" s="13">
        <f ca="1">RANDBETWEEN(0,800)</f>
        <v>545</v>
      </c>
      <c r="F71" s="15">
        <f>SUMIF($Q$6:$Q$10,D71,$R$6:$R$10)</f>
        <v>0.5</v>
      </c>
      <c r="G71" s="15">
        <f>SUMIF($Q$6:$Q$10,D71,$T$6:$T$10)</f>
        <v>0.5</v>
      </c>
      <c r="H71" s="15">
        <f>SUMIF($Q$6:$Q$10,D71,$S$6:$S$10)</f>
        <v>500</v>
      </c>
      <c r="I71" s="15">
        <f>SUMIF($Q$14:$Q$31,C71,$R$14:$R$31)/2</f>
        <v>284</v>
      </c>
      <c r="J71" s="16">
        <f>ROUND(300+TAN(PI()*20/180)*H71+(600*B71-(600+I71)*(600+2*TAN(PI()*20/180)*H71))/600,3)</f>
        <v>28311.736000000001</v>
      </c>
      <c r="K71" s="16">
        <f>ROUND(B71+300+TAN(PI()*20/180)*H71+I71*(2*TAN(PI()*20/180)*H71+600)/600,3)</f>
        <v>30188.263999999999</v>
      </c>
      <c r="L71" s="3" t="str">
        <f ca="1">IF(B72&lt;&gt;"","["&amp;B71&amp;","""&amp;C71&amp;""","&amp;D71&amp;","&amp;E71&amp;","&amp;F71&amp;","&amp;G71&amp;","&amp;H71&amp;","&amp;J71&amp;","&amp;K71&amp;"]","["&amp;B71&amp;","""&amp;C71&amp;""","&amp;D71&amp;","&amp;E71&amp;","&amp;F71&amp;","&amp;G71&amp;","&amp;H71&amp;","&amp;J71&amp;","&amp;K71&amp;"]")</f>
        <v>[29250,"belt_1",3,545,0.5,0.5,500,28311.736,30188.264]</v>
      </c>
      <c r="N71"/>
    </row>
    <row r="72" spans="1:14" x14ac:dyDescent="0.25">
      <c r="A72" s="3">
        <v>70</v>
      </c>
      <c r="B72" s="13">
        <v>29600</v>
      </c>
      <c r="C72" s="14" t="s">
        <v>50</v>
      </c>
      <c r="D72" s="13">
        <v>3</v>
      </c>
      <c r="E72" s="13">
        <f ca="1">RANDBETWEEN(0,800)</f>
        <v>233</v>
      </c>
      <c r="F72" s="15">
        <f>SUMIF($Q$6:$Q$10,D72,$R$6:$R$10)</f>
        <v>0.5</v>
      </c>
      <c r="G72" s="15">
        <f>SUMIF($Q$6:$Q$10,D72,$T$6:$T$10)</f>
        <v>0.5</v>
      </c>
      <c r="H72" s="15">
        <f>SUMIF($Q$6:$Q$10,D72,$S$6:$S$10)</f>
        <v>500</v>
      </c>
      <c r="I72" s="15">
        <f>SUMIF($Q$14:$Q$31,C72,$R$14:$R$31)/2</f>
        <v>405</v>
      </c>
      <c r="J72" s="16">
        <f>ROUND(300+TAN(PI()*20/180)*H72+(600*B72-(600+I72)*(600+2*TAN(PI()*20/180)*H72))/600,3)</f>
        <v>28467.334999999999</v>
      </c>
      <c r="K72" s="16">
        <f>ROUND(B72+300+TAN(PI()*20/180)*H72+I72*(2*TAN(PI()*20/180)*H72+600)/600,3)</f>
        <v>30732.665000000001</v>
      </c>
      <c r="L72" s="3" t="str">
        <f ca="1">IF(B73&lt;&gt;"","["&amp;B72&amp;","""&amp;C72&amp;""","&amp;D72&amp;","&amp;E72&amp;","&amp;F72&amp;","&amp;G72&amp;","&amp;H72&amp;","&amp;J72&amp;","&amp;K72&amp;"]","["&amp;B72&amp;","""&amp;C72&amp;""","&amp;D72&amp;","&amp;E72&amp;","&amp;F72&amp;","&amp;G72&amp;","&amp;H72&amp;","&amp;J72&amp;","&amp;K72&amp;"]")</f>
        <v>[29600,"belt_0",3,233,0.5,0.5,500,28467.335,30732.665]</v>
      </c>
      <c r="N72"/>
    </row>
    <row r="73" spans="1:14" x14ac:dyDescent="0.25">
      <c r="A73" s="3">
        <v>71</v>
      </c>
      <c r="B73" s="13">
        <v>29950</v>
      </c>
      <c r="C73" s="14" t="s">
        <v>51</v>
      </c>
      <c r="D73" s="13">
        <v>3</v>
      </c>
      <c r="E73" s="13">
        <f ca="1">RANDBETWEEN(0,800)</f>
        <v>479</v>
      </c>
      <c r="F73" s="15">
        <f>SUMIF($Q$6:$Q$10,D73,$R$6:$R$10)</f>
        <v>0.5</v>
      </c>
      <c r="G73" s="15">
        <f>SUMIF($Q$6:$Q$10,D73,$T$6:$T$10)</f>
        <v>0.5</v>
      </c>
      <c r="H73" s="15">
        <f>SUMIF($Q$6:$Q$10,D73,$S$6:$S$10)</f>
        <v>500</v>
      </c>
      <c r="I73" s="15">
        <f>SUMIF($Q$14:$Q$31,C73,$R$14:$R$31)/2</f>
        <v>284</v>
      </c>
      <c r="J73" s="16">
        <f>ROUND(300+TAN(PI()*20/180)*H73+(600*B73-(600+I73)*(600+2*TAN(PI()*20/180)*H73))/600,3)</f>
        <v>29011.736000000001</v>
      </c>
      <c r="K73" s="16">
        <f>ROUND(B73+300+TAN(PI()*20/180)*H73+I73*(2*TAN(PI()*20/180)*H73+600)/600,3)</f>
        <v>30888.263999999999</v>
      </c>
      <c r="L73" s="3" t="str">
        <f ca="1">IF(B74&lt;&gt;"","["&amp;B73&amp;","""&amp;C73&amp;""","&amp;D73&amp;","&amp;E73&amp;","&amp;F73&amp;","&amp;G73&amp;","&amp;H73&amp;","&amp;J73&amp;","&amp;K73&amp;"]","["&amp;B73&amp;","""&amp;C73&amp;""","&amp;D73&amp;","&amp;E73&amp;","&amp;F73&amp;","&amp;G73&amp;","&amp;H73&amp;","&amp;J73&amp;","&amp;K73&amp;"]")</f>
        <v>[29950,"belt_1",3,479,0.5,0.5,500,29011.736,30888.264]</v>
      </c>
      <c r="N73"/>
    </row>
    <row r="74" spans="1:14" x14ac:dyDescent="0.25">
      <c r="A74" s="3">
        <v>72</v>
      </c>
      <c r="B74" s="13">
        <v>30300</v>
      </c>
      <c r="C74" s="14" t="s">
        <v>50</v>
      </c>
      <c r="D74" s="13">
        <v>3</v>
      </c>
      <c r="E74" s="13">
        <f ca="1">RANDBETWEEN(0,800)</f>
        <v>546</v>
      </c>
      <c r="F74" s="15">
        <f>SUMIF($Q$6:$Q$10,D74,$R$6:$R$10)</f>
        <v>0.5</v>
      </c>
      <c r="G74" s="15">
        <f>SUMIF($Q$6:$Q$10,D74,$T$6:$T$10)</f>
        <v>0.5</v>
      </c>
      <c r="H74" s="15">
        <f>SUMIF($Q$6:$Q$10,D74,$S$6:$S$10)</f>
        <v>500</v>
      </c>
      <c r="I74" s="15">
        <f>SUMIF($Q$14:$Q$31,C74,$R$14:$R$31)/2</f>
        <v>405</v>
      </c>
      <c r="J74" s="16">
        <f>ROUND(300+TAN(PI()*20/180)*H74+(600*B74-(600+I74)*(600+2*TAN(PI()*20/180)*H74))/600,3)</f>
        <v>29167.334999999999</v>
      </c>
      <c r="K74" s="16">
        <f>ROUND(B74+300+TAN(PI()*20/180)*H74+I74*(2*TAN(PI()*20/180)*H74+600)/600,3)</f>
        <v>31432.665000000001</v>
      </c>
      <c r="L74" s="3" t="str">
        <f ca="1">IF(B75&lt;&gt;"","["&amp;B74&amp;","""&amp;C74&amp;""","&amp;D74&amp;","&amp;E74&amp;","&amp;F74&amp;","&amp;G74&amp;","&amp;H74&amp;","&amp;J74&amp;","&amp;K74&amp;"]","["&amp;B74&amp;","""&amp;C74&amp;""","&amp;D74&amp;","&amp;E74&amp;","&amp;F74&amp;","&amp;G74&amp;","&amp;H74&amp;","&amp;J74&amp;","&amp;K74&amp;"]")</f>
        <v>[30300,"belt_0",3,546,0.5,0.5,500,29167.335,31432.665]</v>
      </c>
      <c r="N74"/>
    </row>
    <row r="75" spans="1:14" x14ac:dyDescent="0.25">
      <c r="A75" s="3">
        <v>73</v>
      </c>
      <c r="B75" s="13">
        <v>30650</v>
      </c>
      <c r="C75" s="14" t="s">
        <v>50</v>
      </c>
      <c r="D75" s="13">
        <v>3</v>
      </c>
      <c r="E75" s="13">
        <f ca="1">RANDBETWEEN(0,800)</f>
        <v>570</v>
      </c>
      <c r="F75" s="15">
        <f>SUMIF($Q$6:$Q$10,D75,$R$6:$R$10)</f>
        <v>0.5</v>
      </c>
      <c r="G75" s="15">
        <f>SUMIF($Q$6:$Q$10,D75,$T$6:$T$10)</f>
        <v>0.5</v>
      </c>
      <c r="H75" s="15">
        <f>SUMIF($Q$6:$Q$10,D75,$S$6:$S$10)</f>
        <v>500</v>
      </c>
      <c r="I75" s="15">
        <f>SUMIF($Q$14:$Q$31,C75,$R$14:$R$31)/2</f>
        <v>405</v>
      </c>
      <c r="J75" s="16">
        <f>ROUND(300+TAN(PI()*20/180)*H75+(600*B75-(600+I75)*(600+2*TAN(PI()*20/180)*H75))/600,3)</f>
        <v>29517.334999999999</v>
      </c>
      <c r="K75" s="16">
        <f>ROUND(B75+300+TAN(PI()*20/180)*H75+I75*(2*TAN(PI()*20/180)*H75+600)/600,3)</f>
        <v>31782.665000000001</v>
      </c>
      <c r="L75" s="3" t="str">
        <f ca="1">IF(B76&lt;&gt;"","["&amp;B75&amp;","""&amp;C75&amp;""","&amp;D75&amp;","&amp;E75&amp;","&amp;F75&amp;","&amp;G75&amp;","&amp;H75&amp;","&amp;J75&amp;","&amp;K75&amp;"]","["&amp;B75&amp;","""&amp;C75&amp;""","&amp;D75&amp;","&amp;E75&amp;","&amp;F75&amp;","&amp;G75&amp;","&amp;H75&amp;","&amp;J75&amp;","&amp;K75&amp;"]")</f>
        <v>[30650,"belt_0",3,570,0.5,0.5,500,29517.335,31782.665]</v>
      </c>
      <c r="N75"/>
    </row>
    <row r="76" spans="1:14" x14ac:dyDescent="0.25">
      <c r="A76" s="3">
        <v>74</v>
      </c>
      <c r="B76" s="13">
        <v>31000</v>
      </c>
      <c r="C76" s="14" t="s">
        <v>51</v>
      </c>
      <c r="D76" s="13">
        <v>3</v>
      </c>
      <c r="E76" s="13">
        <f ca="1">RANDBETWEEN(0,800)</f>
        <v>627</v>
      </c>
      <c r="F76" s="15">
        <f>SUMIF($Q$6:$Q$10,D76,$R$6:$R$10)</f>
        <v>0.5</v>
      </c>
      <c r="G76" s="15">
        <f>SUMIF($Q$6:$Q$10,D76,$T$6:$T$10)</f>
        <v>0.5</v>
      </c>
      <c r="H76" s="15">
        <f>SUMIF($Q$6:$Q$10,D76,$S$6:$S$10)</f>
        <v>500</v>
      </c>
      <c r="I76" s="15">
        <f>SUMIF($Q$14:$Q$31,C76,$R$14:$R$31)/2</f>
        <v>284</v>
      </c>
      <c r="J76" s="16">
        <f>ROUND(300+TAN(PI()*20/180)*H76+(600*B76-(600+I76)*(600+2*TAN(PI()*20/180)*H76))/600,3)</f>
        <v>30061.736000000001</v>
      </c>
      <c r="K76" s="16">
        <f>ROUND(B76+300+TAN(PI()*20/180)*H76+I76*(2*TAN(PI()*20/180)*H76+600)/600,3)</f>
        <v>31938.263999999999</v>
      </c>
      <c r="L76" s="3" t="str">
        <f ca="1">IF(B77&lt;&gt;"","["&amp;B76&amp;","""&amp;C76&amp;""","&amp;D76&amp;","&amp;E76&amp;","&amp;F76&amp;","&amp;G76&amp;","&amp;H76&amp;","&amp;J76&amp;","&amp;K76&amp;"]","["&amp;B76&amp;","""&amp;C76&amp;""","&amp;D76&amp;","&amp;E76&amp;","&amp;F76&amp;","&amp;G76&amp;","&amp;H76&amp;","&amp;J76&amp;","&amp;K76&amp;"]")</f>
        <v>[31000,"belt_1",3,627,0.5,0.5,500,30061.736,31938.264]</v>
      </c>
      <c r="N76"/>
    </row>
    <row r="77" spans="1:14" x14ac:dyDescent="0.25">
      <c r="A77" s="3">
        <v>75</v>
      </c>
      <c r="B77" s="13">
        <v>31350</v>
      </c>
      <c r="C77" s="14" t="s">
        <v>52</v>
      </c>
      <c r="D77" s="13">
        <v>3</v>
      </c>
      <c r="E77" s="13">
        <f ca="1">RANDBETWEEN(0,800)</f>
        <v>425</v>
      </c>
      <c r="F77" s="15">
        <f>SUMIF($Q$6:$Q$10,D77,$R$6:$R$10)</f>
        <v>0.5</v>
      </c>
      <c r="G77" s="15">
        <f>SUMIF($Q$6:$Q$10,D77,$T$6:$T$10)</f>
        <v>0.5</v>
      </c>
      <c r="H77" s="15">
        <f>SUMIF($Q$6:$Q$10,D77,$S$6:$S$10)</f>
        <v>500</v>
      </c>
      <c r="I77" s="15">
        <f>SUMIF($Q$14:$Q$31,C77,$R$14:$R$31)/2</f>
        <v>405</v>
      </c>
      <c r="J77" s="16">
        <f>ROUND(300+TAN(PI()*20/180)*H77+(600*B77-(600+I77)*(600+2*TAN(PI()*20/180)*H77))/600,3)</f>
        <v>30217.334999999999</v>
      </c>
      <c r="K77" s="16">
        <f>ROUND(B77+300+TAN(PI()*20/180)*H77+I77*(2*TAN(PI()*20/180)*H77+600)/600,3)</f>
        <v>32482.665000000001</v>
      </c>
      <c r="L77" s="3" t="str">
        <f ca="1">IF(B78&lt;&gt;"","["&amp;B77&amp;","""&amp;C77&amp;""","&amp;D77&amp;","&amp;E77&amp;","&amp;F77&amp;","&amp;G77&amp;","&amp;H77&amp;","&amp;J77&amp;","&amp;K77&amp;"]","["&amp;B77&amp;","""&amp;C77&amp;""","&amp;D77&amp;","&amp;E77&amp;","&amp;F77&amp;","&amp;G77&amp;","&amp;H77&amp;","&amp;J77&amp;","&amp;K77&amp;"]")</f>
        <v>[31350,"belt_2",3,425,0.5,0.5,500,30217.335,32482.665]</v>
      </c>
      <c r="N77"/>
    </row>
    <row r="78" spans="1:14" x14ac:dyDescent="0.25">
      <c r="A78" s="3">
        <v>76</v>
      </c>
      <c r="B78" s="13">
        <v>31700</v>
      </c>
      <c r="C78" s="14" t="s">
        <v>50</v>
      </c>
      <c r="D78" s="13">
        <v>3</v>
      </c>
      <c r="E78" s="13">
        <f ca="1">RANDBETWEEN(0,800)</f>
        <v>693</v>
      </c>
      <c r="F78" s="15">
        <f>SUMIF($Q$6:$Q$10,D78,$R$6:$R$10)</f>
        <v>0.5</v>
      </c>
      <c r="G78" s="15">
        <f>SUMIF($Q$6:$Q$10,D78,$T$6:$T$10)</f>
        <v>0.5</v>
      </c>
      <c r="H78" s="15">
        <f>SUMIF($Q$6:$Q$10,D78,$S$6:$S$10)</f>
        <v>500</v>
      </c>
      <c r="I78" s="15">
        <f>SUMIF($Q$14:$Q$31,C78,$R$14:$R$31)/2</f>
        <v>405</v>
      </c>
      <c r="J78" s="16">
        <f>ROUND(300+TAN(PI()*20/180)*H78+(600*B78-(600+I78)*(600+2*TAN(PI()*20/180)*H78))/600,3)</f>
        <v>30567.334999999999</v>
      </c>
      <c r="K78" s="16">
        <f>ROUND(B78+300+TAN(PI()*20/180)*H78+I78*(2*TAN(PI()*20/180)*H78+600)/600,3)</f>
        <v>32832.665000000001</v>
      </c>
      <c r="L78" s="3" t="str">
        <f ca="1">IF(B79&lt;&gt;"","["&amp;B78&amp;","""&amp;C78&amp;""","&amp;D78&amp;","&amp;E78&amp;","&amp;F78&amp;","&amp;G78&amp;","&amp;H78&amp;","&amp;J78&amp;","&amp;K78&amp;"]","["&amp;B78&amp;","""&amp;C78&amp;""","&amp;D78&amp;","&amp;E78&amp;","&amp;F78&amp;","&amp;G78&amp;","&amp;H78&amp;","&amp;J78&amp;","&amp;K78&amp;"]")</f>
        <v>[31700,"belt_0",3,693,0.5,0.5,500,30567.335,32832.665]</v>
      </c>
      <c r="N78"/>
    </row>
    <row r="79" spans="1:14" x14ac:dyDescent="0.25">
      <c r="A79" s="3">
        <v>77</v>
      </c>
      <c r="B79" s="13">
        <v>32050</v>
      </c>
      <c r="C79" s="14" t="s">
        <v>51</v>
      </c>
      <c r="D79" s="13">
        <v>3</v>
      </c>
      <c r="E79" s="13">
        <f ca="1">RANDBETWEEN(0,800)</f>
        <v>229</v>
      </c>
      <c r="F79" s="15">
        <f>SUMIF($Q$6:$Q$10,D79,$R$6:$R$10)</f>
        <v>0.5</v>
      </c>
      <c r="G79" s="15">
        <f>SUMIF($Q$6:$Q$10,D79,$T$6:$T$10)</f>
        <v>0.5</v>
      </c>
      <c r="H79" s="15">
        <f>SUMIF($Q$6:$Q$10,D79,$S$6:$S$10)</f>
        <v>500</v>
      </c>
      <c r="I79" s="15">
        <f>SUMIF($Q$14:$Q$31,C79,$R$14:$R$31)/2</f>
        <v>284</v>
      </c>
      <c r="J79" s="16">
        <f>ROUND(300+TAN(PI()*20/180)*H79+(600*B79-(600+I79)*(600+2*TAN(PI()*20/180)*H79))/600,3)</f>
        <v>31111.736000000001</v>
      </c>
      <c r="K79" s="16">
        <f>ROUND(B79+300+TAN(PI()*20/180)*H79+I79*(2*TAN(PI()*20/180)*H79+600)/600,3)</f>
        <v>32988.264000000003</v>
      </c>
      <c r="L79" s="3" t="str">
        <f ca="1">IF(B80&lt;&gt;"","["&amp;B79&amp;","""&amp;C79&amp;""","&amp;D79&amp;","&amp;E79&amp;","&amp;F79&amp;","&amp;G79&amp;","&amp;H79&amp;","&amp;J79&amp;","&amp;K79&amp;"]","["&amp;B79&amp;","""&amp;C79&amp;""","&amp;D79&amp;","&amp;E79&amp;","&amp;F79&amp;","&amp;G79&amp;","&amp;H79&amp;","&amp;J79&amp;","&amp;K79&amp;"]")</f>
        <v>[32050,"belt_1",3,229,0.5,0.5,500,31111.736,32988.264]</v>
      </c>
      <c r="N79"/>
    </row>
    <row r="80" spans="1:14" x14ac:dyDescent="0.25">
      <c r="A80" s="3">
        <v>78</v>
      </c>
      <c r="B80" s="13">
        <v>32400</v>
      </c>
      <c r="C80" s="14" t="s">
        <v>52</v>
      </c>
      <c r="D80" s="13">
        <v>3</v>
      </c>
      <c r="E80" s="13">
        <f ca="1">RANDBETWEEN(0,800)</f>
        <v>474</v>
      </c>
      <c r="F80" s="15">
        <f>SUMIF($Q$6:$Q$10,D80,$R$6:$R$10)</f>
        <v>0.5</v>
      </c>
      <c r="G80" s="15">
        <f>SUMIF($Q$6:$Q$10,D80,$T$6:$T$10)</f>
        <v>0.5</v>
      </c>
      <c r="H80" s="15">
        <f>SUMIF($Q$6:$Q$10,D80,$S$6:$S$10)</f>
        <v>500</v>
      </c>
      <c r="I80" s="15">
        <f>SUMIF($Q$14:$Q$31,C80,$R$14:$R$31)/2</f>
        <v>405</v>
      </c>
      <c r="J80" s="16">
        <f>ROUND(300+TAN(PI()*20/180)*H80+(600*B80-(600+I80)*(600+2*TAN(PI()*20/180)*H80))/600,3)</f>
        <v>31267.334999999999</v>
      </c>
      <c r="K80" s="16">
        <f>ROUND(B80+300+TAN(PI()*20/180)*H80+I80*(2*TAN(PI()*20/180)*H80+600)/600,3)</f>
        <v>33532.665000000001</v>
      </c>
      <c r="L80" s="3" t="str">
        <f ca="1">IF(B81&lt;&gt;"","["&amp;B80&amp;","""&amp;C80&amp;""","&amp;D80&amp;","&amp;E80&amp;","&amp;F80&amp;","&amp;G80&amp;","&amp;H80&amp;","&amp;J80&amp;","&amp;K80&amp;"]","["&amp;B80&amp;","""&amp;C80&amp;""","&amp;D80&amp;","&amp;E80&amp;","&amp;F80&amp;","&amp;G80&amp;","&amp;H80&amp;","&amp;J80&amp;","&amp;K80&amp;"]")</f>
        <v>[32400,"belt_2",3,474,0.5,0.5,500,31267.335,33532.665]</v>
      </c>
      <c r="N80"/>
    </row>
    <row r="81" spans="1:14" x14ac:dyDescent="0.25">
      <c r="A81" s="3">
        <v>79</v>
      </c>
      <c r="B81" s="13">
        <v>32750</v>
      </c>
      <c r="C81" s="14" t="s">
        <v>50</v>
      </c>
      <c r="D81" s="13">
        <v>3</v>
      </c>
      <c r="E81" s="13">
        <f ca="1">RANDBETWEEN(0,800)</f>
        <v>500</v>
      </c>
      <c r="F81" s="15">
        <f>SUMIF($Q$6:$Q$10,D81,$R$6:$R$10)</f>
        <v>0.5</v>
      </c>
      <c r="G81" s="15">
        <f>SUMIF($Q$6:$Q$10,D81,$T$6:$T$10)</f>
        <v>0.5</v>
      </c>
      <c r="H81" s="15">
        <f>SUMIF($Q$6:$Q$10,D81,$S$6:$S$10)</f>
        <v>500</v>
      </c>
      <c r="I81" s="15">
        <f>SUMIF($Q$14:$Q$31,C81,$R$14:$R$31)/2</f>
        <v>405</v>
      </c>
      <c r="J81" s="16">
        <f>ROUND(300+TAN(PI()*20/180)*H81+(600*B81-(600+I81)*(600+2*TAN(PI()*20/180)*H81))/600,3)</f>
        <v>31617.334999999999</v>
      </c>
      <c r="K81" s="16">
        <f>ROUND(B81+300+TAN(PI()*20/180)*H81+I81*(2*TAN(PI()*20/180)*H81+600)/600,3)</f>
        <v>33882.665000000001</v>
      </c>
      <c r="L81" s="3" t="str">
        <f ca="1">IF(B82&lt;&gt;"","["&amp;B81&amp;","""&amp;C81&amp;""","&amp;D81&amp;","&amp;E81&amp;","&amp;F81&amp;","&amp;G81&amp;","&amp;H81&amp;","&amp;J81&amp;","&amp;K81&amp;"]","["&amp;B81&amp;","""&amp;C81&amp;""","&amp;D81&amp;","&amp;E81&amp;","&amp;F81&amp;","&amp;G81&amp;","&amp;H81&amp;","&amp;J81&amp;","&amp;K81&amp;"]")</f>
        <v>[32750,"belt_0",3,500,0.5,0.5,500,31617.335,33882.665]</v>
      </c>
      <c r="N81"/>
    </row>
    <row r="82" spans="1:14" x14ac:dyDescent="0.25">
      <c r="A82" s="3">
        <v>80</v>
      </c>
      <c r="B82" s="13">
        <v>33100</v>
      </c>
      <c r="C82" s="14" t="s">
        <v>51</v>
      </c>
      <c r="D82" s="13">
        <v>3</v>
      </c>
      <c r="E82" s="13">
        <f ca="1">RANDBETWEEN(0,800)</f>
        <v>160</v>
      </c>
      <c r="F82" s="15">
        <f>SUMIF($Q$6:$Q$10,D82,$R$6:$R$10)</f>
        <v>0.5</v>
      </c>
      <c r="G82" s="15">
        <f>SUMIF($Q$6:$Q$10,D82,$T$6:$T$10)</f>
        <v>0.5</v>
      </c>
      <c r="H82" s="15">
        <f>SUMIF($Q$6:$Q$10,D82,$S$6:$S$10)</f>
        <v>500</v>
      </c>
      <c r="I82" s="15">
        <f>SUMIF($Q$14:$Q$31,C82,$R$14:$R$31)/2</f>
        <v>284</v>
      </c>
      <c r="J82" s="16">
        <f>ROUND(300+TAN(PI()*20/180)*H82+(600*B82-(600+I82)*(600+2*TAN(PI()*20/180)*H82))/600,3)</f>
        <v>32161.736000000001</v>
      </c>
      <c r="K82" s="16">
        <f>ROUND(B82+300+TAN(PI()*20/180)*H82+I82*(2*TAN(PI()*20/180)*H82+600)/600,3)</f>
        <v>34038.264000000003</v>
      </c>
      <c r="L82" s="3" t="str">
        <f ca="1">IF(B83&lt;&gt;"","["&amp;B82&amp;","""&amp;C82&amp;""","&amp;D82&amp;","&amp;E82&amp;","&amp;F82&amp;","&amp;G82&amp;","&amp;H82&amp;","&amp;J82&amp;","&amp;K82&amp;"]","["&amp;B82&amp;","""&amp;C82&amp;""","&amp;D82&amp;","&amp;E82&amp;","&amp;F82&amp;","&amp;G82&amp;","&amp;H82&amp;","&amp;J82&amp;","&amp;K82&amp;"]")</f>
        <v>[33100,"belt_1",3,160,0.5,0.5,500,32161.736,34038.264]</v>
      </c>
      <c r="N82"/>
    </row>
    <row r="83" spans="1:14" x14ac:dyDescent="0.25">
      <c r="A83" s="3">
        <v>81</v>
      </c>
      <c r="B83" s="13">
        <v>33450</v>
      </c>
      <c r="C83" s="14" t="s">
        <v>52</v>
      </c>
      <c r="D83" s="13">
        <v>3</v>
      </c>
      <c r="E83" s="13">
        <f ca="1">RANDBETWEEN(0,800)</f>
        <v>251</v>
      </c>
      <c r="F83" s="15">
        <f>SUMIF($Q$6:$Q$10,D83,$R$6:$R$10)</f>
        <v>0.5</v>
      </c>
      <c r="G83" s="15">
        <f>SUMIF($Q$6:$Q$10,D83,$T$6:$T$10)</f>
        <v>0.5</v>
      </c>
      <c r="H83" s="15">
        <f>SUMIF($Q$6:$Q$10,D83,$S$6:$S$10)</f>
        <v>500</v>
      </c>
      <c r="I83" s="15">
        <f>SUMIF($Q$14:$Q$31,C83,$R$14:$R$31)/2</f>
        <v>405</v>
      </c>
      <c r="J83" s="16">
        <f>ROUND(300+TAN(PI()*20/180)*H83+(600*B83-(600+I83)*(600+2*TAN(PI()*20/180)*H83))/600,3)</f>
        <v>32317.334999999999</v>
      </c>
      <c r="K83" s="16">
        <f>ROUND(B83+300+TAN(PI()*20/180)*H83+I83*(2*TAN(PI()*20/180)*H83+600)/600,3)</f>
        <v>34582.665000000001</v>
      </c>
      <c r="L83" s="3" t="str">
        <f ca="1">IF(B84&lt;&gt;"","["&amp;B83&amp;","""&amp;C83&amp;""","&amp;D83&amp;","&amp;E83&amp;","&amp;F83&amp;","&amp;G83&amp;","&amp;H83&amp;","&amp;J83&amp;","&amp;K83&amp;"]","["&amp;B83&amp;","""&amp;C83&amp;""","&amp;D83&amp;","&amp;E83&amp;","&amp;F83&amp;","&amp;G83&amp;","&amp;H83&amp;","&amp;J83&amp;","&amp;K83&amp;"]")</f>
        <v>[33450,"belt_2",3,251,0.5,0.5,500,32317.335,34582.665]</v>
      </c>
      <c r="N83"/>
    </row>
    <row r="84" spans="1:14" x14ac:dyDescent="0.25">
      <c r="A84" s="3">
        <v>82</v>
      </c>
      <c r="B84" s="13">
        <v>33800</v>
      </c>
      <c r="C84" s="14" t="s">
        <v>50</v>
      </c>
      <c r="D84" s="13">
        <v>3</v>
      </c>
      <c r="E84" s="13">
        <f ca="1">RANDBETWEEN(0,800)</f>
        <v>653</v>
      </c>
      <c r="F84" s="15">
        <f>SUMIF($Q$6:$Q$10,D84,$R$6:$R$10)</f>
        <v>0.5</v>
      </c>
      <c r="G84" s="15">
        <f>SUMIF($Q$6:$Q$10,D84,$T$6:$T$10)</f>
        <v>0.5</v>
      </c>
      <c r="H84" s="15">
        <f>SUMIF($Q$6:$Q$10,D84,$S$6:$S$10)</f>
        <v>500</v>
      </c>
      <c r="I84" s="15">
        <f>SUMIF($Q$14:$Q$31,C84,$R$14:$R$31)/2</f>
        <v>405</v>
      </c>
      <c r="J84" s="16">
        <f>ROUND(300+TAN(PI()*20/180)*H84+(600*B84-(600+I84)*(600+2*TAN(PI()*20/180)*H84))/600,3)</f>
        <v>32667.334999999999</v>
      </c>
      <c r="K84" s="16">
        <f>ROUND(B84+300+TAN(PI()*20/180)*H84+I84*(2*TAN(PI()*20/180)*H84+600)/600,3)</f>
        <v>34932.665000000001</v>
      </c>
      <c r="L84" s="3" t="str">
        <f ca="1">IF(B85&lt;&gt;"","["&amp;B84&amp;","""&amp;C84&amp;""","&amp;D84&amp;","&amp;E84&amp;","&amp;F84&amp;","&amp;G84&amp;","&amp;H84&amp;","&amp;J84&amp;","&amp;K84&amp;"]","["&amp;B84&amp;","""&amp;C84&amp;""","&amp;D84&amp;","&amp;E84&amp;","&amp;F84&amp;","&amp;G84&amp;","&amp;H84&amp;","&amp;J84&amp;","&amp;K84&amp;"]")</f>
        <v>[33800,"belt_0",3,653,0.5,0.5,500,32667.335,34932.665]</v>
      </c>
      <c r="N84"/>
    </row>
    <row r="85" spans="1:14" x14ac:dyDescent="0.25">
      <c r="A85" s="3">
        <v>83</v>
      </c>
      <c r="B85" s="13">
        <v>34150</v>
      </c>
      <c r="C85" s="14" t="s">
        <v>51</v>
      </c>
      <c r="D85" s="13">
        <v>3</v>
      </c>
      <c r="E85" s="13">
        <f ca="1">RANDBETWEEN(0,800)</f>
        <v>321</v>
      </c>
      <c r="F85" s="15">
        <f>SUMIF($Q$6:$Q$10,D85,$R$6:$R$10)</f>
        <v>0.5</v>
      </c>
      <c r="G85" s="15">
        <f>SUMIF($Q$6:$Q$10,D85,$T$6:$T$10)</f>
        <v>0.5</v>
      </c>
      <c r="H85" s="15">
        <f>SUMIF($Q$6:$Q$10,D85,$S$6:$S$10)</f>
        <v>500</v>
      </c>
      <c r="I85" s="15">
        <f>SUMIF($Q$14:$Q$31,C85,$R$14:$R$31)/2</f>
        <v>284</v>
      </c>
      <c r="J85" s="16">
        <f>ROUND(300+TAN(PI()*20/180)*H85+(600*B85-(600+I85)*(600+2*TAN(PI()*20/180)*H85))/600,3)</f>
        <v>33211.735999999997</v>
      </c>
      <c r="K85" s="16">
        <f>ROUND(B85+300+TAN(PI()*20/180)*H85+I85*(2*TAN(PI()*20/180)*H85+600)/600,3)</f>
        <v>35088.264000000003</v>
      </c>
      <c r="L85" s="3" t="str">
        <f ca="1">IF(B86&lt;&gt;"","["&amp;B85&amp;","""&amp;C85&amp;""","&amp;D85&amp;","&amp;E85&amp;","&amp;F85&amp;","&amp;G85&amp;","&amp;H85&amp;","&amp;J85&amp;","&amp;K85&amp;"]","["&amp;B85&amp;","""&amp;C85&amp;""","&amp;D85&amp;","&amp;E85&amp;","&amp;F85&amp;","&amp;G85&amp;","&amp;H85&amp;","&amp;J85&amp;","&amp;K85&amp;"]")</f>
        <v>[34150,"belt_1",3,321,0.5,0.5,500,33211.736,35088.264]</v>
      </c>
      <c r="N85"/>
    </row>
    <row r="86" spans="1:14" x14ac:dyDescent="0.25">
      <c r="A86" s="3">
        <v>84</v>
      </c>
      <c r="B86" s="13">
        <v>34500</v>
      </c>
      <c r="C86" s="14" t="s">
        <v>50</v>
      </c>
      <c r="D86" s="13">
        <v>3</v>
      </c>
      <c r="E86" s="13">
        <f ca="1">RANDBETWEEN(0,800)</f>
        <v>409</v>
      </c>
      <c r="F86" s="15">
        <f>SUMIF($Q$6:$Q$10,D86,$R$6:$R$10)</f>
        <v>0.5</v>
      </c>
      <c r="G86" s="15">
        <f>SUMIF($Q$6:$Q$10,D86,$T$6:$T$10)</f>
        <v>0.5</v>
      </c>
      <c r="H86" s="15">
        <f>SUMIF($Q$6:$Q$10,D86,$S$6:$S$10)</f>
        <v>500</v>
      </c>
      <c r="I86" s="15">
        <f>SUMIF($Q$14:$Q$31,C86,$R$14:$R$31)/2</f>
        <v>405</v>
      </c>
      <c r="J86" s="16">
        <f>ROUND(300+TAN(PI()*20/180)*H86+(600*B86-(600+I86)*(600+2*TAN(PI()*20/180)*H86))/600,3)</f>
        <v>33367.334999999999</v>
      </c>
      <c r="K86" s="16">
        <f>ROUND(B86+300+TAN(PI()*20/180)*H86+I86*(2*TAN(PI()*20/180)*H86+600)/600,3)</f>
        <v>35632.665000000001</v>
      </c>
      <c r="L86" s="3" t="str">
        <f ca="1">IF(B87&lt;&gt;"","["&amp;B86&amp;","""&amp;C86&amp;""","&amp;D86&amp;","&amp;E86&amp;","&amp;F86&amp;","&amp;G86&amp;","&amp;H86&amp;","&amp;J86&amp;","&amp;K86&amp;"]","["&amp;B86&amp;","""&amp;C86&amp;""","&amp;D86&amp;","&amp;E86&amp;","&amp;F86&amp;","&amp;G86&amp;","&amp;H86&amp;","&amp;J86&amp;","&amp;K86&amp;"]")</f>
        <v>[34500,"belt_0",3,409,0.5,0.5,500,33367.335,35632.665]</v>
      </c>
      <c r="N86"/>
    </row>
    <row r="87" spans="1:14" x14ac:dyDescent="0.25">
      <c r="A87" s="3">
        <v>85</v>
      </c>
      <c r="B87" s="13">
        <v>34850</v>
      </c>
      <c r="C87" s="14" t="s">
        <v>50</v>
      </c>
      <c r="D87" s="13">
        <v>3</v>
      </c>
      <c r="E87" s="13">
        <f ca="1">RANDBETWEEN(0,800)</f>
        <v>612</v>
      </c>
      <c r="F87" s="15">
        <f>SUMIF($Q$6:$Q$10,D87,$R$6:$R$10)</f>
        <v>0.5</v>
      </c>
      <c r="G87" s="15">
        <f>SUMIF($Q$6:$Q$10,D87,$T$6:$T$10)</f>
        <v>0.5</v>
      </c>
      <c r="H87" s="15">
        <f>SUMIF($Q$6:$Q$10,D87,$S$6:$S$10)</f>
        <v>500</v>
      </c>
      <c r="I87" s="15">
        <f>SUMIF($Q$14:$Q$31,C87,$R$14:$R$31)/2</f>
        <v>405</v>
      </c>
      <c r="J87" s="16">
        <f>ROUND(300+TAN(PI()*20/180)*H87+(600*B87-(600+I87)*(600+2*TAN(PI()*20/180)*H87))/600,3)</f>
        <v>33717.334999999999</v>
      </c>
      <c r="K87" s="16">
        <f>ROUND(B87+300+TAN(PI()*20/180)*H87+I87*(2*TAN(PI()*20/180)*H87+600)/600,3)</f>
        <v>35982.665000000001</v>
      </c>
      <c r="L87" s="3" t="str">
        <f ca="1">IF(B88&lt;&gt;"","["&amp;B87&amp;","""&amp;C87&amp;""","&amp;D87&amp;","&amp;E87&amp;","&amp;F87&amp;","&amp;G87&amp;","&amp;H87&amp;","&amp;J87&amp;","&amp;K87&amp;"]","["&amp;B87&amp;","""&amp;C87&amp;""","&amp;D87&amp;","&amp;E87&amp;","&amp;F87&amp;","&amp;G87&amp;","&amp;H87&amp;","&amp;J87&amp;","&amp;K87&amp;"]")</f>
        <v>[34850,"belt_0",3,612,0.5,0.5,500,33717.335,35982.665]</v>
      </c>
      <c r="N87"/>
    </row>
    <row r="88" spans="1:14" x14ac:dyDescent="0.25">
      <c r="A88" s="3">
        <v>87</v>
      </c>
      <c r="B88" s="13">
        <v>35200</v>
      </c>
      <c r="C88" s="14" t="s">
        <v>51</v>
      </c>
      <c r="D88" s="13">
        <v>3</v>
      </c>
      <c r="E88" s="13">
        <f ca="1">RANDBETWEEN(0,800)</f>
        <v>591</v>
      </c>
      <c r="F88" s="15">
        <f>SUMIF($Q$6:$Q$10,D88,$R$6:$R$10)</f>
        <v>0.5</v>
      </c>
      <c r="G88" s="15">
        <f>SUMIF($Q$6:$Q$10,D88,$T$6:$T$10)</f>
        <v>0.5</v>
      </c>
      <c r="H88" s="15">
        <f>SUMIF($Q$6:$Q$10,D88,$S$6:$S$10)</f>
        <v>500</v>
      </c>
      <c r="I88" s="15">
        <f>SUMIF($Q$14:$Q$31,C88,$R$14:$R$31)/2</f>
        <v>284</v>
      </c>
      <c r="J88" s="16">
        <f>ROUND(300+TAN(PI()*20/180)*H88+(600*B88-(600+I88)*(600+2*TAN(PI()*20/180)*H88))/600,3)</f>
        <v>34261.735999999997</v>
      </c>
      <c r="K88" s="16">
        <f>ROUND(B88+300+TAN(PI()*20/180)*H88+I88*(2*TAN(PI()*20/180)*H88+600)/600,3)</f>
        <v>36138.264000000003</v>
      </c>
      <c r="L88" s="3" t="str">
        <f ca="1">IF(B89&lt;&gt;"","["&amp;B88&amp;","""&amp;C88&amp;""","&amp;D88&amp;","&amp;E88&amp;","&amp;F88&amp;","&amp;G88&amp;","&amp;H88&amp;","&amp;J88&amp;","&amp;K88&amp;"]","["&amp;B88&amp;","""&amp;C88&amp;""","&amp;D88&amp;","&amp;E88&amp;","&amp;F88&amp;","&amp;G88&amp;","&amp;H88&amp;","&amp;J88&amp;","&amp;K88&amp;"]")</f>
        <v>[35200,"belt_1",3,591,0.5,0.5,500,34261.736,36138.264]</v>
      </c>
      <c r="N88"/>
    </row>
    <row r="89" spans="1:14" x14ac:dyDescent="0.25">
      <c r="A89" s="3">
        <v>88</v>
      </c>
      <c r="B89" s="13">
        <v>35550</v>
      </c>
      <c r="C89" s="14" t="s">
        <v>50</v>
      </c>
      <c r="D89" s="13">
        <v>3</v>
      </c>
      <c r="E89" s="13">
        <f ca="1">RANDBETWEEN(0,800)</f>
        <v>242</v>
      </c>
      <c r="F89" s="15">
        <f>SUMIF($Q$6:$Q$10,D89,$R$6:$R$10)</f>
        <v>0.5</v>
      </c>
      <c r="G89" s="15">
        <f>SUMIF($Q$6:$Q$10,D89,$T$6:$T$10)</f>
        <v>0.5</v>
      </c>
      <c r="H89" s="15">
        <f>SUMIF($Q$6:$Q$10,D89,$S$6:$S$10)</f>
        <v>500</v>
      </c>
      <c r="I89" s="15">
        <f>SUMIF($Q$14:$Q$31,C89,$R$14:$R$31)/2</f>
        <v>405</v>
      </c>
      <c r="J89" s="16">
        <f>ROUND(300+TAN(PI()*20/180)*H89+(600*B89-(600+I89)*(600+2*TAN(PI()*20/180)*H89))/600,3)</f>
        <v>34417.334999999999</v>
      </c>
      <c r="K89" s="16">
        <f>ROUND(B89+300+TAN(PI()*20/180)*H89+I89*(2*TAN(PI()*20/180)*H89+600)/600,3)</f>
        <v>36682.665000000001</v>
      </c>
      <c r="L89" s="3" t="str">
        <f ca="1">IF(B90&lt;&gt;"","["&amp;B89&amp;","""&amp;C89&amp;""","&amp;D89&amp;","&amp;E89&amp;","&amp;F89&amp;","&amp;G89&amp;","&amp;H89&amp;","&amp;J89&amp;","&amp;K89&amp;"]","["&amp;B89&amp;","""&amp;C89&amp;""","&amp;D89&amp;","&amp;E89&amp;","&amp;F89&amp;","&amp;G89&amp;","&amp;H89&amp;","&amp;J89&amp;","&amp;K89&amp;"]")</f>
        <v>[35550,"belt_0",3,242,0.5,0.5,500,34417.335,36682.665]</v>
      </c>
      <c r="N89"/>
    </row>
    <row r="90" spans="1:14" x14ac:dyDescent="0.25">
      <c r="A90" s="3">
        <v>89</v>
      </c>
      <c r="B90" s="13">
        <v>35900</v>
      </c>
      <c r="C90" s="14" t="s">
        <v>50</v>
      </c>
      <c r="D90" s="13">
        <v>3</v>
      </c>
      <c r="E90" s="13">
        <f ca="1">RANDBETWEEN(0,800)</f>
        <v>610</v>
      </c>
      <c r="F90" s="15">
        <f>SUMIF($Q$6:$Q$10,D90,$R$6:$R$10)</f>
        <v>0.5</v>
      </c>
      <c r="G90" s="15">
        <f>SUMIF($Q$6:$Q$10,D90,$T$6:$T$10)</f>
        <v>0.5</v>
      </c>
      <c r="H90" s="15">
        <f>SUMIF($Q$6:$Q$10,D90,$S$6:$S$10)</f>
        <v>500</v>
      </c>
      <c r="I90" s="15">
        <f>SUMIF($Q$14:$Q$31,C90,$R$14:$R$31)/2</f>
        <v>405</v>
      </c>
      <c r="J90" s="16">
        <f>ROUND(300+TAN(PI()*20/180)*H90+(600*B90-(600+I90)*(600+2*TAN(PI()*20/180)*H90))/600,3)</f>
        <v>34767.334999999999</v>
      </c>
      <c r="K90" s="16">
        <f>ROUND(B90+300+TAN(PI()*20/180)*H90+I90*(2*TAN(PI()*20/180)*H90+600)/600,3)</f>
        <v>37032.665000000001</v>
      </c>
      <c r="L90" s="3" t="str">
        <f ca="1">IF(B91&lt;&gt;"","["&amp;B90&amp;","""&amp;C90&amp;""","&amp;D90&amp;","&amp;E90&amp;","&amp;F90&amp;","&amp;G90&amp;","&amp;H90&amp;","&amp;J90&amp;","&amp;K90&amp;"]","["&amp;B90&amp;","""&amp;C90&amp;""","&amp;D90&amp;","&amp;E90&amp;","&amp;F90&amp;","&amp;G90&amp;","&amp;H90&amp;","&amp;J90&amp;","&amp;K90&amp;"]")</f>
        <v>[35900,"belt_0",3,610,0.5,0.5,500,34767.335,37032.665]</v>
      </c>
      <c r="N90"/>
    </row>
    <row r="91" spans="1:14" x14ac:dyDescent="0.25">
      <c r="A91" s="3">
        <v>90</v>
      </c>
      <c r="B91" s="13">
        <v>36250</v>
      </c>
      <c r="C91" s="14" t="s">
        <v>51</v>
      </c>
      <c r="D91" s="13">
        <v>3</v>
      </c>
      <c r="E91" s="13">
        <f ca="1">RANDBETWEEN(0,800)</f>
        <v>522</v>
      </c>
      <c r="F91" s="15">
        <f>SUMIF($Q$6:$Q$10,D91,$R$6:$R$10)</f>
        <v>0.5</v>
      </c>
      <c r="G91" s="15">
        <f>SUMIF($Q$6:$Q$10,D91,$T$6:$T$10)</f>
        <v>0.5</v>
      </c>
      <c r="H91" s="15">
        <f>SUMIF($Q$6:$Q$10,D91,$S$6:$S$10)</f>
        <v>500</v>
      </c>
      <c r="I91" s="15">
        <f>SUMIF($Q$14:$Q$31,C91,$R$14:$R$31)/2</f>
        <v>284</v>
      </c>
      <c r="J91" s="16">
        <f>ROUND(300+TAN(PI()*20/180)*H91+(600*B91-(600+I91)*(600+2*TAN(PI()*20/180)*H91))/600,3)</f>
        <v>35311.735999999997</v>
      </c>
      <c r="K91" s="16">
        <f>ROUND(B91+300+TAN(PI()*20/180)*H91+I91*(2*TAN(PI()*20/180)*H91+600)/600,3)</f>
        <v>37188.264000000003</v>
      </c>
      <c r="L91" s="3" t="str">
        <f ca="1">IF(B92&lt;&gt;"","["&amp;B91&amp;","""&amp;C91&amp;""","&amp;D91&amp;","&amp;E91&amp;","&amp;F91&amp;","&amp;G91&amp;","&amp;H91&amp;","&amp;J91&amp;","&amp;K91&amp;"]","["&amp;B91&amp;","""&amp;C91&amp;""","&amp;D91&amp;","&amp;E91&amp;","&amp;F91&amp;","&amp;G91&amp;","&amp;H91&amp;","&amp;J91&amp;","&amp;K91&amp;"]")</f>
        <v>[36250,"belt_1",3,522,0.5,0.5,500,35311.736,37188.264]</v>
      </c>
      <c r="N91"/>
    </row>
    <row r="92" spans="1:14" x14ac:dyDescent="0.25">
      <c r="A92" s="3">
        <v>91</v>
      </c>
      <c r="B92" s="13">
        <v>36600</v>
      </c>
      <c r="C92" s="14" t="s">
        <v>50</v>
      </c>
      <c r="D92" s="13">
        <v>3</v>
      </c>
      <c r="E92" s="13">
        <f ca="1">RANDBETWEEN(0,800)</f>
        <v>523</v>
      </c>
      <c r="F92" s="15">
        <f>SUMIF($Q$6:$Q$10,D92,$R$6:$R$10)</f>
        <v>0.5</v>
      </c>
      <c r="G92" s="15">
        <f>SUMIF($Q$6:$Q$10,D92,$T$6:$T$10)</f>
        <v>0.5</v>
      </c>
      <c r="H92" s="15">
        <f>SUMIF($Q$6:$Q$10,D92,$S$6:$S$10)</f>
        <v>500</v>
      </c>
      <c r="I92" s="15">
        <f>SUMIF($Q$14:$Q$31,C92,$R$14:$R$31)/2</f>
        <v>405</v>
      </c>
      <c r="J92" s="16">
        <f>ROUND(300+TAN(PI()*20/180)*H92+(600*B92-(600+I92)*(600+2*TAN(PI()*20/180)*H92))/600,3)</f>
        <v>35467.334999999999</v>
      </c>
      <c r="K92" s="16">
        <f>ROUND(B92+300+TAN(PI()*20/180)*H92+I92*(2*TAN(PI()*20/180)*H92+600)/600,3)</f>
        <v>37732.665000000001</v>
      </c>
      <c r="L92" s="3" t="str">
        <f ca="1">IF(B93&lt;&gt;"","["&amp;B92&amp;","""&amp;C92&amp;""","&amp;D92&amp;","&amp;E92&amp;","&amp;F92&amp;","&amp;G92&amp;","&amp;H92&amp;","&amp;J92&amp;","&amp;K92&amp;"]","["&amp;B92&amp;","""&amp;C92&amp;""","&amp;D92&amp;","&amp;E92&amp;","&amp;F92&amp;","&amp;G92&amp;","&amp;H92&amp;","&amp;J92&amp;","&amp;K92&amp;"]")</f>
        <v>[36600,"belt_0",3,523,0.5,0.5,500,35467.335,37732.665]</v>
      </c>
      <c r="N92"/>
    </row>
    <row r="93" spans="1:14" x14ac:dyDescent="0.25">
      <c r="A93" s="3">
        <v>92</v>
      </c>
      <c r="B93" s="13">
        <v>36950</v>
      </c>
      <c r="C93" s="14" t="s">
        <v>52</v>
      </c>
      <c r="D93" s="13">
        <v>3</v>
      </c>
      <c r="E93" s="13">
        <f ca="1">RANDBETWEEN(0,800)</f>
        <v>448</v>
      </c>
      <c r="F93" s="15">
        <f>SUMIF($Q$6:$Q$10,D93,$R$6:$R$10)</f>
        <v>0.5</v>
      </c>
      <c r="G93" s="15">
        <f>SUMIF($Q$6:$Q$10,D93,$T$6:$T$10)</f>
        <v>0.5</v>
      </c>
      <c r="H93" s="15">
        <f>SUMIF($Q$6:$Q$10,D93,$S$6:$S$10)</f>
        <v>500</v>
      </c>
      <c r="I93" s="15">
        <f>SUMIF($Q$14:$Q$31,C93,$R$14:$R$31)/2</f>
        <v>405</v>
      </c>
      <c r="J93" s="16">
        <f>ROUND(300+TAN(PI()*20/180)*H93+(600*B93-(600+I93)*(600+2*TAN(PI()*20/180)*H93))/600,3)</f>
        <v>35817.334999999999</v>
      </c>
      <c r="K93" s="16">
        <f>ROUND(B93+300+TAN(PI()*20/180)*H93+I93*(2*TAN(PI()*20/180)*H93+600)/600,3)</f>
        <v>38082.665000000001</v>
      </c>
      <c r="L93" s="3" t="str">
        <f ca="1">IF(B94&lt;&gt;"","["&amp;B93&amp;","""&amp;C93&amp;""","&amp;D93&amp;","&amp;E93&amp;","&amp;F93&amp;","&amp;G93&amp;","&amp;H93&amp;","&amp;J93&amp;","&amp;K93&amp;"]","["&amp;B93&amp;","""&amp;C93&amp;""","&amp;D93&amp;","&amp;E93&amp;","&amp;F93&amp;","&amp;G93&amp;","&amp;H93&amp;","&amp;J93&amp;","&amp;K93&amp;"]")</f>
        <v>[36950,"belt_2",3,448,0.5,0.5,500,35817.335,38082.665]</v>
      </c>
      <c r="N93"/>
    </row>
    <row r="94" spans="1:14" x14ac:dyDescent="0.25">
      <c r="A94" s="3">
        <v>93</v>
      </c>
      <c r="B94" s="13">
        <v>37300</v>
      </c>
      <c r="C94" s="14" t="s">
        <v>51</v>
      </c>
      <c r="D94" s="13">
        <v>3</v>
      </c>
      <c r="E94" s="13">
        <f ca="1">RANDBETWEEN(0,800)</f>
        <v>169</v>
      </c>
      <c r="F94" s="15">
        <f>SUMIF($Q$6:$Q$10,D94,$R$6:$R$10)</f>
        <v>0.5</v>
      </c>
      <c r="G94" s="15">
        <f>SUMIF($Q$6:$Q$10,D94,$T$6:$T$10)</f>
        <v>0.5</v>
      </c>
      <c r="H94" s="15">
        <f>SUMIF($Q$6:$Q$10,D94,$S$6:$S$10)</f>
        <v>500</v>
      </c>
      <c r="I94" s="15">
        <f>SUMIF($Q$14:$Q$31,C94,$R$14:$R$31)/2</f>
        <v>284</v>
      </c>
      <c r="J94" s="16">
        <f>ROUND(300+TAN(PI()*20/180)*H94+(600*B94-(600+I94)*(600+2*TAN(PI()*20/180)*H94))/600,3)</f>
        <v>36361.735999999997</v>
      </c>
      <c r="K94" s="16">
        <f>ROUND(B94+300+TAN(PI()*20/180)*H94+I94*(2*TAN(PI()*20/180)*H94+600)/600,3)</f>
        <v>38238.264000000003</v>
      </c>
      <c r="L94" s="3" t="str">
        <f ca="1">IF(B95&lt;&gt;"","["&amp;B94&amp;","""&amp;C94&amp;""","&amp;D94&amp;","&amp;E94&amp;","&amp;F94&amp;","&amp;G94&amp;","&amp;H94&amp;","&amp;J94&amp;","&amp;K94&amp;"]","["&amp;B94&amp;","""&amp;C94&amp;""","&amp;D94&amp;","&amp;E94&amp;","&amp;F94&amp;","&amp;G94&amp;","&amp;H94&amp;","&amp;J94&amp;","&amp;K94&amp;"]")</f>
        <v>[37300,"belt_1",3,169,0.5,0.5,500,36361.736,38238.264]</v>
      </c>
      <c r="N94"/>
    </row>
    <row r="95" spans="1:14" x14ac:dyDescent="0.25">
      <c r="A95" s="3">
        <v>94</v>
      </c>
      <c r="B95" s="13">
        <v>37650</v>
      </c>
      <c r="C95" s="14" t="s">
        <v>50</v>
      </c>
      <c r="D95" s="13">
        <v>3</v>
      </c>
      <c r="E95" s="13">
        <f ca="1">RANDBETWEEN(0,800)</f>
        <v>643</v>
      </c>
      <c r="F95" s="15">
        <f>SUMIF($Q$6:$Q$10,D95,$R$6:$R$10)</f>
        <v>0.5</v>
      </c>
      <c r="G95" s="15">
        <f>SUMIF($Q$6:$Q$10,D95,$T$6:$T$10)</f>
        <v>0.5</v>
      </c>
      <c r="H95" s="15">
        <f>SUMIF($Q$6:$Q$10,D95,$S$6:$S$10)</f>
        <v>500</v>
      </c>
      <c r="I95" s="15">
        <f>SUMIF($Q$14:$Q$31,C95,$R$14:$R$31)/2</f>
        <v>405</v>
      </c>
      <c r="J95" s="16">
        <f>ROUND(300+TAN(PI()*20/180)*H95+(600*B95-(600+I95)*(600+2*TAN(PI()*20/180)*H95))/600,3)</f>
        <v>36517.334999999999</v>
      </c>
      <c r="K95" s="16">
        <f>ROUND(B95+300+TAN(PI()*20/180)*H95+I95*(2*TAN(PI()*20/180)*H95+600)/600,3)</f>
        <v>38782.665000000001</v>
      </c>
      <c r="L95" s="3" t="str">
        <f ca="1">IF(B96&lt;&gt;"","["&amp;B95&amp;","""&amp;C95&amp;""","&amp;D95&amp;","&amp;E95&amp;","&amp;F95&amp;","&amp;G95&amp;","&amp;H95&amp;","&amp;J95&amp;","&amp;K95&amp;"]","["&amp;B95&amp;","""&amp;C95&amp;""","&amp;D95&amp;","&amp;E95&amp;","&amp;F95&amp;","&amp;G95&amp;","&amp;H95&amp;","&amp;J95&amp;","&amp;K95&amp;"]")</f>
        <v>[37650,"belt_0",3,643,0.5,0.5,500,36517.335,38782.665]</v>
      </c>
      <c r="N95"/>
    </row>
    <row r="96" spans="1:14" x14ac:dyDescent="0.25">
      <c r="A96" s="3">
        <v>95</v>
      </c>
      <c r="B96" s="13">
        <v>38000</v>
      </c>
      <c r="C96" s="14" t="s">
        <v>52</v>
      </c>
      <c r="D96" s="13">
        <v>3</v>
      </c>
      <c r="E96" s="13">
        <f ca="1">RANDBETWEEN(0,800)</f>
        <v>711</v>
      </c>
      <c r="F96" s="15">
        <f>SUMIF($Q$6:$Q$10,D96,$R$6:$R$10)</f>
        <v>0.5</v>
      </c>
      <c r="G96" s="15">
        <f>SUMIF($Q$6:$Q$10,D96,$T$6:$T$10)</f>
        <v>0.5</v>
      </c>
      <c r="H96" s="15">
        <f>SUMIF($Q$6:$Q$10,D96,$S$6:$S$10)</f>
        <v>500</v>
      </c>
      <c r="I96" s="15">
        <f>SUMIF($Q$14:$Q$31,C96,$R$14:$R$31)/2</f>
        <v>405</v>
      </c>
      <c r="J96" s="16">
        <f>ROUND(300+TAN(PI()*20/180)*H96+(600*B96-(600+I96)*(600+2*TAN(PI()*20/180)*H96))/600,3)</f>
        <v>36867.334999999999</v>
      </c>
      <c r="K96" s="16">
        <f>ROUND(B96+300+TAN(PI()*20/180)*H96+I96*(2*TAN(PI()*20/180)*H96+600)/600,3)</f>
        <v>39132.665000000001</v>
      </c>
      <c r="L96" s="3" t="str">
        <f ca="1">IF(B97&lt;&gt;"","["&amp;B96&amp;","""&amp;C96&amp;""","&amp;D96&amp;","&amp;E96&amp;","&amp;F96&amp;","&amp;G96&amp;","&amp;H96&amp;","&amp;J96&amp;","&amp;K96&amp;"]","["&amp;B96&amp;","""&amp;C96&amp;""","&amp;D96&amp;","&amp;E96&amp;","&amp;F96&amp;","&amp;G96&amp;","&amp;H96&amp;","&amp;J96&amp;","&amp;K96&amp;"]")</f>
        <v>[38000,"belt_2",3,711,0.5,0.5,500,36867.335,39132.665]</v>
      </c>
      <c r="N96"/>
    </row>
    <row r="97" spans="1:14" x14ac:dyDescent="0.25">
      <c r="A97" s="3">
        <v>96</v>
      </c>
      <c r="B97" s="13">
        <v>38350</v>
      </c>
      <c r="C97" s="14" t="s">
        <v>51</v>
      </c>
      <c r="D97" s="13">
        <v>3</v>
      </c>
      <c r="E97" s="13">
        <f ca="1">RANDBETWEEN(0,800)</f>
        <v>310</v>
      </c>
      <c r="F97" s="15">
        <f>SUMIF($Q$6:$Q$10,D97,$R$6:$R$10)</f>
        <v>0.5</v>
      </c>
      <c r="G97" s="15">
        <f>SUMIF($Q$6:$Q$10,D97,$T$6:$T$10)</f>
        <v>0.5</v>
      </c>
      <c r="H97" s="15">
        <f>SUMIF($Q$6:$Q$10,D97,$S$6:$S$10)</f>
        <v>500</v>
      </c>
      <c r="I97" s="15">
        <f>SUMIF($Q$14:$Q$31,C97,$R$14:$R$31)/2</f>
        <v>284</v>
      </c>
      <c r="J97" s="16">
        <f>ROUND(300+TAN(PI()*20/180)*H97+(600*B97-(600+I97)*(600+2*TAN(PI()*20/180)*H97))/600,3)</f>
        <v>37411.735999999997</v>
      </c>
      <c r="K97" s="16">
        <f>ROUND(B97+300+TAN(PI()*20/180)*H97+I97*(2*TAN(PI()*20/180)*H97+600)/600,3)</f>
        <v>39288.264000000003</v>
      </c>
      <c r="L97" s="3" t="str">
        <f ca="1">IF(B98&lt;&gt;"","["&amp;B97&amp;","""&amp;C97&amp;""","&amp;D97&amp;","&amp;E97&amp;","&amp;F97&amp;","&amp;G97&amp;","&amp;H97&amp;","&amp;J97&amp;","&amp;K97&amp;"]","["&amp;B97&amp;","""&amp;C97&amp;""","&amp;D97&amp;","&amp;E97&amp;","&amp;F97&amp;","&amp;G97&amp;","&amp;H97&amp;","&amp;J97&amp;","&amp;K97&amp;"]")</f>
        <v>[38350,"belt_1",3,310,0.5,0.5,500,37411.736,39288.264]</v>
      </c>
      <c r="N97"/>
    </row>
    <row r="98" spans="1:14" x14ac:dyDescent="0.25">
      <c r="A98" s="3">
        <v>97</v>
      </c>
      <c r="B98" s="13">
        <v>38700</v>
      </c>
      <c r="C98" s="14" t="s">
        <v>50</v>
      </c>
      <c r="D98" s="13">
        <v>3</v>
      </c>
      <c r="E98" s="13">
        <f ca="1">RANDBETWEEN(0,800)</f>
        <v>620</v>
      </c>
      <c r="F98" s="15">
        <f>SUMIF($Q$6:$Q$10,D98,$R$6:$R$10)</f>
        <v>0.5</v>
      </c>
      <c r="G98" s="15">
        <f>SUMIF($Q$6:$Q$10,D98,$T$6:$T$10)</f>
        <v>0.5</v>
      </c>
      <c r="H98" s="15">
        <f>SUMIF($Q$6:$Q$10,D98,$S$6:$S$10)</f>
        <v>500</v>
      </c>
      <c r="I98" s="15">
        <f>SUMIF($Q$14:$Q$31,C98,$R$14:$R$31)/2</f>
        <v>405</v>
      </c>
      <c r="J98" s="16">
        <f>ROUND(300+TAN(PI()*20/180)*H98+(600*B98-(600+I98)*(600+2*TAN(PI()*20/180)*H98))/600,3)</f>
        <v>37567.334999999999</v>
      </c>
      <c r="K98" s="16">
        <f>ROUND(B98+300+TAN(PI()*20/180)*H98+I98*(2*TAN(PI()*20/180)*H98+600)/600,3)</f>
        <v>39832.665000000001</v>
      </c>
      <c r="L98" s="3" t="str">
        <f ca="1">IF(B99&lt;&gt;"","["&amp;B98&amp;","""&amp;C98&amp;""","&amp;D98&amp;","&amp;E98&amp;","&amp;F98&amp;","&amp;G98&amp;","&amp;H98&amp;","&amp;J98&amp;","&amp;K98&amp;"]","["&amp;B98&amp;","""&amp;C98&amp;""","&amp;D98&amp;","&amp;E98&amp;","&amp;F98&amp;","&amp;G98&amp;","&amp;H98&amp;","&amp;J98&amp;","&amp;K98&amp;"]")</f>
        <v>[38700,"belt_0",3,620,0.5,0.5,500,37567.335,39832.665]</v>
      </c>
      <c r="N98"/>
    </row>
    <row r="99" spans="1:14" x14ac:dyDescent="0.25">
      <c r="A99" s="3">
        <v>98</v>
      </c>
      <c r="B99" s="13">
        <v>39050</v>
      </c>
      <c r="C99" s="14" t="s">
        <v>52</v>
      </c>
      <c r="D99" s="13">
        <v>3</v>
      </c>
      <c r="E99" s="13">
        <f ca="1">RANDBETWEEN(0,800)</f>
        <v>108</v>
      </c>
      <c r="F99" s="15">
        <f>SUMIF($Q$6:$Q$10,D99,$R$6:$R$10)</f>
        <v>0.5</v>
      </c>
      <c r="G99" s="15">
        <f>SUMIF($Q$6:$Q$10,D99,$T$6:$T$10)</f>
        <v>0.5</v>
      </c>
      <c r="H99" s="15">
        <f>SUMIF($Q$6:$Q$10,D99,$S$6:$S$10)</f>
        <v>500</v>
      </c>
      <c r="I99" s="15">
        <f>SUMIF($Q$14:$Q$31,C99,$R$14:$R$31)/2</f>
        <v>405</v>
      </c>
      <c r="J99" s="16">
        <f>ROUND(300+TAN(PI()*20/180)*H99+(600*B99-(600+I99)*(600+2*TAN(PI()*20/180)*H99))/600,3)</f>
        <v>37917.334999999999</v>
      </c>
      <c r="K99" s="16">
        <f>ROUND(B99+300+TAN(PI()*20/180)*H99+I99*(2*TAN(PI()*20/180)*H99+600)/600,3)</f>
        <v>40182.665000000001</v>
      </c>
      <c r="L99" s="3" t="str">
        <f ca="1">IF(B100&lt;&gt;"","["&amp;B99&amp;","""&amp;C99&amp;""","&amp;D99&amp;","&amp;E99&amp;","&amp;F99&amp;","&amp;G99&amp;","&amp;H99&amp;","&amp;J99&amp;","&amp;K99&amp;"]","["&amp;B99&amp;","""&amp;C99&amp;""","&amp;D99&amp;","&amp;E99&amp;","&amp;F99&amp;","&amp;G99&amp;","&amp;H99&amp;","&amp;J99&amp;","&amp;K99&amp;"]")</f>
        <v>[39050,"belt_2",3,108,0.5,0.5,500,37917.335,40182.665]</v>
      </c>
      <c r="N99"/>
    </row>
    <row r="100" spans="1:14" x14ac:dyDescent="0.25">
      <c r="A100" s="3">
        <v>99</v>
      </c>
      <c r="B100" s="13">
        <v>39400</v>
      </c>
      <c r="C100" s="14" t="s">
        <v>50</v>
      </c>
      <c r="D100" s="13">
        <v>3</v>
      </c>
      <c r="E100" s="13">
        <f ca="1">RANDBETWEEN(0,800)</f>
        <v>88</v>
      </c>
      <c r="F100" s="15">
        <f>SUMIF($Q$6:$Q$10,D100,$R$6:$R$10)</f>
        <v>0.5</v>
      </c>
      <c r="G100" s="15">
        <f>SUMIF($Q$6:$Q$10,D100,$T$6:$T$10)</f>
        <v>0.5</v>
      </c>
      <c r="H100" s="15">
        <f>SUMIF($Q$6:$Q$10,D100,$S$6:$S$10)</f>
        <v>500</v>
      </c>
      <c r="I100" s="15">
        <f>SUMIF($Q$14:$Q$31,C100,$R$14:$R$31)/2</f>
        <v>405</v>
      </c>
      <c r="J100" s="16">
        <f>ROUND(300+TAN(PI()*20/180)*H100+(600*B100-(600+I100)*(600+2*TAN(PI()*20/180)*H100))/600,3)</f>
        <v>38267.334999999999</v>
      </c>
      <c r="K100" s="16">
        <f>ROUND(B100+300+TAN(PI()*20/180)*H100+I100*(2*TAN(PI()*20/180)*H100+600)/600,3)</f>
        <v>40532.665000000001</v>
      </c>
      <c r="L100" s="3" t="str">
        <f ca="1">IF(B101&lt;&gt;"","["&amp;B100&amp;","""&amp;C100&amp;""","&amp;D100&amp;","&amp;E100&amp;","&amp;F100&amp;","&amp;G100&amp;","&amp;H100&amp;","&amp;J100&amp;","&amp;K100&amp;"]","["&amp;B100&amp;","""&amp;C100&amp;""","&amp;D100&amp;","&amp;E100&amp;","&amp;F100&amp;","&amp;G100&amp;","&amp;H100&amp;","&amp;J100&amp;","&amp;K100&amp;"]")</f>
        <v>[39400,"belt_0",3,88,0.5,0.5,500,38267.335,40532.665]</v>
      </c>
      <c r="N100"/>
    </row>
    <row r="101" spans="1:14" x14ac:dyDescent="0.25">
      <c r="A101" s="3">
        <v>100</v>
      </c>
      <c r="B101" s="13">
        <v>39750</v>
      </c>
      <c r="C101" s="14" t="s">
        <v>50</v>
      </c>
      <c r="D101" s="13">
        <v>3</v>
      </c>
      <c r="E101" s="13">
        <f ca="1">RANDBETWEEN(0,800)</f>
        <v>443</v>
      </c>
      <c r="F101" s="15">
        <f>SUMIF($Q$6:$Q$10,D101,$R$6:$R$10)</f>
        <v>0.5</v>
      </c>
      <c r="G101" s="15">
        <f>SUMIF($Q$6:$Q$10,D101,$T$6:$T$10)</f>
        <v>0.5</v>
      </c>
      <c r="H101" s="15">
        <f>SUMIF($Q$6:$Q$10,D101,$S$6:$S$10)</f>
        <v>500</v>
      </c>
      <c r="I101" s="15">
        <f>SUMIF($Q$14:$Q$31,C101,$R$14:$R$31)/2</f>
        <v>405</v>
      </c>
      <c r="J101" s="16">
        <f>ROUND(300+TAN(PI()*20/180)*H101+(600*B101-(600+I101)*(600+2*TAN(PI()*20/180)*H101))/600,3)</f>
        <v>38617.334999999999</v>
      </c>
      <c r="K101" s="16">
        <f>ROUND(B101+300+TAN(PI()*20/180)*H101+I101*(2*TAN(PI()*20/180)*H101+600)/600,3)</f>
        <v>40882.665000000001</v>
      </c>
      <c r="L101" s="3" t="str">
        <f ca="1">IF(B102&lt;&gt;"","["&amp;B101&amp;","""&amp;C101&amp;""","&amp;D101&amp;","&amp;E101&amp;","&amp;F101&amp;","&amp;G101&amp;","&amp;H101&amp;","&amp;J101&amp;","&amp;K101&amp;"]","["&amp;B101&amp;","""&amp;C101&amp;""","&amp;D101&amp;","&amp;E101&amp;","&amp;F101&amp;","&amp;G101&amp;","&amp;H101&amp;","&amp;J101&amp;","&amp;K101&amp;"]")</f>
        <v>[39750,"belt_0",3,443,0.5,0.5,500,38617.335,40882.665]</v>
      </c>
      <c r="N101"/>
    </row>
    <row r="102" spans="1:14" x14ac:dyDescent="0.25">
      <c r="A102" s="3">
        <v>86</v>
      </c>
      <c r="B102" s="13">
        <v>40000</v>
      </c>
      <c r="C102" s="14" t="s">
        <v>49</v>
      </c>
      <c r="D102" s="13">
        <v>1</v>
      </c>
      <c r="E102" s="13">
        <v>400</v>
      </c>
      <c r="F102" s="15">
        <v>0.3</v>
      </c>
      <c r="G102" s="15">
        <f>SUMIF($Q$6:$Q$10,D102,$T$6:$T$10)</f>
        <v>1</v>
      </c>
      <c r="H102" s="15">
        <f>SUMIF($Q$6:$Q$10,D102,$S$6:$S$10)</f>
        <v>5000</v>
      </c>
      <c r="I102" s="15">
        <f>SUMIF($Q$14:$Q$31,C102,$R$14:$R$31)/2</f>
        <v>563</v>
      </c>
      <c r="J102" s="16">
        <f>ROUND(300+TAN(PI()*20/180)*H102+(600*B102-(600+I102)*(600+2*TAN(PI()*20/180)*H102))/600,3)</f>
        <v>33901.894999999997</v>
      </c>
      <c r="K102" s="16">
        <f>ROUND(B102+300+TAN(PI()*20/180)*H102+I102*(2*TAN(PI()*20/180)*H102+600)/600,3)</f>
        <v>46098.105000000003</v>
      </c>
      <c r="L102" s="3" t="str">
        <f>IF(B103&lt;&gt;"","["&amp;B102&amp;","""&amp;C102&amp;""","&amp;D102&amp;","&amp;E102&amp;","&amp;F102&amp;","&amp;G102&amp;","&amp;H102&amp;","&amp;J102&amp;","&amp;K102&amp;"]","["&amp;B102&amp;","""&amp;C102&amp;""","&amp;D102&amp;","&amp;E102&amp;","&amp;F102&amp;","&amp;G102&amp;","&amp;H102&amp;","&amp;J102&amp;","&amp;K102&amp;"]")</f>
        <v>[40000,"big_black_hole",1,400,0.3,1,5000,33901.895,46098.105]</v>
      </c>
      <c r="N102"/>
    </row>
    <row r="103" spans="1:14" x14ac:dyDescent="0.25">
      <c r="A103" s="3">
        <v>101</v>
      </c>
      <c r="B103" s="13">
        <v>40100</v>
      </c>
      <c r="C103" s="14" t="s">
        <v>50</v>
      </c>
      <c r="D103" s="13">
        <v>3</v>
      </c>
      <c r="E103" s="13">
        <f ca="1">RANDBETWEEN(0,800)</f>
        <v>604</v>
      </c>
      <c r="F103" s="15">
        <f>SUMIF($Q$6:$Q$10,D103,$R$6:$R$10)</f>
        <v>0.5</v>
      </c>
      <c r="G103" s="15">
        <f>SUMIF($Q$6:$Q$10,D103,$T$6:$T$10)</f>
        <v>0.5</v>
      </c>
      <c r="H103" s="15">
        <f>SUMIF($Q$6:$Q$10,D103,$S$6:$S$10)</f>
        <v>500</v>
      </c>
      <c r="I103" s="15">
        <f>SUMIF($Q$14:$Q$31,C103,$R$14:$R$31)/2</f>
        <v>405</v>
      </c>
      <c r="J103" s="16">
        <f>ROUND(300+TAN(PI()*20/180)*H103+(600*B103-(600+I103)*(600+2*TAN(PI()*20/180)*H103))/600,3)</f>
        <v>38967.334999999999</v>
      </c>
      <c r="K103" s="16">
        <f>ROUND(B103+300+TAN(PI()*20/180)*H103+I103*(2*TAN(PI()*20/180)*H103+600)/600,3)</f>
        <v>41232.665000000001</v>
      </c>
      <c r="L103" s="3" t="str">
        <f ca="1">IF(B104&lt;&gt;"","["&amp;B103&amp;","""&amp;C103&amp;""","&amp;D103&amp;","&amp;E103&amp;","&amp;F103&amp;","&amp;G103&amp;","&amp;H103&amp;","&amp;J103&amp;","&amp;K103&amp;"]","["&amp;B103&amp;","""&amp;C103&amp;""","&amp;D103&amp;","&amp;E103&amp;","&amp;F103&amp;","&amp;G103&amp;","&amp;H103&amp;","&amp;J103&amp;","&amp;K103&amp;"]")</f>
        <v>[40100,"belt_0",3,604,0.5,0.5,500,38967.335,41232.665]</v>
      </c>
      <c r="N103"/>
    </row>
    <row r="104" spans="1:14" x14ac:dyDescent="0.25">
      <c r="A104" s="3">
        <v>102</v>
      </c>
      <c r="B104" s="13">
        <v>40450</v>
      </c>
      <c r="C104" s="14" t="s">
        <v>51</v>
      </c>
      <c r="D104" s="13">
        <v>3</v>
      </c>
      <c r="E104" s="13">
        <f ca="1">RANDBETWEEN(0,800)</f>
        <v>573</v>
      </c>
      <c r="F104" s="15">
        <f>SUMIF($Q$6:$Q$10,D104,$R$6:$R$10)</f>
        <v>0.5</v>
      </c>
      <c r="G104" s="15">
        <f>SUMIF($Q$6:$Q$10,D104,$T$6:$T$10)</f>
        <v>0.5</v>
      </c>
      <c r="H104" s="15">
        <f>SUMIF($Q$6:$Q$10,D104,$S$6:$S$10)</f>
        <v>500</v>
      </c>
      <c r="I104" s="15">
        <f>SUMIF($Q$14:$Q$31,C104,$R$14:$R$31)/2</f>
        <v>284</v>
      </c>
      <c r="J104" s="16">
        <f>ROUND(300+TAN(PI()*20/180)*H104+(600*B104-(600+I104)*(600+2*TAN(PI()*20/180)*H104))/600,3)</f>
        <v>39511.735999999997</v>
      </c>
      <c r="K104" s="16">
        <f>ROUND(B104+300+TAN(PI()*20/180)*H104+I104*(2*TAN(PI()*20/180)*H104+600)/600,3)</f>
        <v>41388.264000000003</v>
      </c>
      <c r="L104" s="3" t="str">
        <f ca="1">IF(B105&lt;&gt;"","["&amp;B104&amp;","""&amp;C104&amp;""","&amp;D104&amp;","&amp;E104&amp;","&amp;F104&amp;","&amp;G104&amp;","&amp;H104&amp;","&amp;J104&amp;","&amp;K104&amp;"]","["&amp;B104&amp;","""&amp;C104&amp;""","&amp;D104&amp;","&amp;E104&amp;","&amp;F104&amp;","&amp;G104&amp;","&amp;H104&amp;","&amp;J104&amp;","&amp;K104&amp;"]")</f>
        <v>[40450,"belt_1",3,573,0.5,0.5,500,39511.736,41388.264]</v>
      </c>
      <c r="N104"/>
    </row>
    <row r="105" spans="1:14" x14ac:dyDescent="0.25">
      <c r="A105" s="3">
        <v>103</v>
      </c>
      <c r="B105" s="13">
        <v>40800</v>
      </c>
      <c r="C105" s="14" t="s">
        <v>50</v>
      </c>
      <c r="D105" s="13">
        <v>3</v>
      </c>
      <c r="E105" s="13">
        <f ca="1">RANDBETWEEN(0,800)</f>
        <v>637</v>
      </c>
      <c r="F105" s="15">
        <f>SUMIF($Q$6:$Q$10,D105,$R$6:$R$10)</f>
        <v>0.5</v>
      </c>
      <c r="G105" s="15">
        <f>SUMIF($Q$6:$Q$10,D105,$T$6:$T$10)</f>
        <v>0.5</v>
      </c>
      <c r="H105" s="15">
        <f>SUMIF($Q$6:$Q$10,D105,$S$6:$S$10)</f>
        <v>500</v>
      </c>
      <c r="I105" s="15">
        <f>SUMIF($Q$14:$Q$31,C105,$R$14:$R$31)/2</f>
        <v>405</v>
      </c>
      <c r="J105" s="16">
        <f>ROUND(300+TAN(PI()*20/180)*H105+(600*B105-(600+I105)*(600+2*TAN(PI()*20/180)*H105))/600,3)</f>
        <v>39667.334999999999</v>
      </c>
      <c r="K105" s="16">
        <f>ROUND(B105+300+TAN(PI()*20/180)*H105+I105*(2*TAN(PI()*20/180)*H105+600)/600,3)</f>
        <v>41932.665000000001</v>
      </c>
      <c r="L105" s="3" t="str">
        <f ca="1">IF(B106&lt;&gt;"","["&amp;B105&amp;","""&amp;C105&amp;""","&amp;D105&amp;","&amp;E105&amp;","&amp;F105&amp;","&amp;G105&amp;","&amp;H105&amp;","&amp;J105&amp;","&amp;K105&amp;"]","["&amp;B105&amp;","""&amp;C105&amp;""","&amp;D105&amp;","&amp;E105&amp;","&amp;F105&amp;","&amp;G105&amp;","&amp;H105&amp;","&amp;J105&amp;","&amp;K105&amp;"]")</f>
        <v>[40800,"belt_0",3,637,0.5,0.5,500,39667.335,41932.665]</v>
      </c>
      <c r="N105"/>
    </row>
    <row r="106" spans="1:14" x14ac:dyDescent="0.25">
      <c r="A106" s="3">
        <v>104</v>
      </c>
      <c r="B106" s="13">
        <v>41150</v>
      </c>
      <c r="C106" s="14" t="s">
        <v>50</v>
      </c>
      <c r="D106" s="13">
        <v>3</v>
      </c>
      <c r="E106" s="13">
        <f ca="1">RANDBETWEEN(0,800)</f>
        <v>641</v>
      </c>
      <c r="F106" s="15">
        <f>SUMIF($Q$6:$Q$10,D106,$R$6:$R$10)</f>
        <v>0.5</v>
      </c>
      <c r="G106" s="15">
        <f>SUMIF($Q$6:$Q$10,D106,$T$6:$T$10)</f>
        <v>0.5</v>
      </c>
      <c r="H106" s="15">
        <f>SUMIF($Q$6:$Q$10,D106,$S$6:$S$10)</f>
        <v>500</v>
      </c>
      <c r="I106" s="15">
        <f>SUMIF($Q$14:$Q$31,C106,$R$14:$R$31)/2</f>
        <v>405</v>
      </c>
      <c r="J106" s="16">
        <f>ROUND(300+TAN(PI()*20/180)*H106+(600*B106-(600+I106)*(600+2*TAN(PI()*20/180)*H106))/600,3)</f>
        <v>40017.334999999999</v>
      </c>
      <c r="K106" s="16">
        <f>ROUND(B106+300+TAN(PI()*20/180)*H106+I106*(2*TAN(PI()*20/180)*H106+600)/600,3)</f>
        <v>42282.665000000001</v>
      </c>
      <c r="L106" s="3" t="str">
        <f ca="1">IF(B107&lt;&gt;"","["&amp;B106&amp;","""&amp;C106&amp;""","&amp;D106&amp;","&amp;E106&amp;","&amp;F106&amp;","&amp;G106&amp;","&amp;H106&amp;","&amp;J106&amp;","&amp;K106&amp;"]","["&amp;B106&amp;","""&amp;C106&amp;""","&amp;D106&amp;","&amp;E106&amp;","&amp;F106&amp;","&amp;G106&amp;","&amp;H106&amp;","&amp;J106&amp;","&amp;K106&amp;"]")</f>
        <v>[41150,"belt_0",3,641,0.5,0.5,500,40017.335,42282.665]</v>
      </c>
      <c r="N106"/>
    </row>
    <row r="107" spans="1:14" x14ac:dyDescent="0.25">
      <c r="A107" s="3">
        <v>105</v>
      </c>
      <c r="B107" s="13">
        <v>41500</v>
      </c>
      <c r="C107" s="14" t="s">
        <v>52</v>
      </c>
      <c r="D107" s="13">
        <v>3</v>
      </c>
      <c r="E107" s="13">
        <f ca="1">RANDBETWEEN(0,800)</f>
        <v>712</v>
      </c>
      <c r="F107" s="15">
        <f>SUMIF($Q$6:$Q$10,D107,$R$6:$R$10)</f>
        <v>0.5</v>
      </c>
      <c r="G107" s="15">
        <f>SUMIF($Q$6:$Q$10,D107,$T$6:$T$10)</f>
        <v>0.5</v>
      </c>
      <c r="H107" s="15">
        <f>SUMIF($Q$6:$Q$10,D107,$S$6:$S$10)</f>
        <v>500</v>
      </c>
      <c r="I107" s="15">
        <f>SUMIF($Q$14:$Q$31,C107,$R$14:$R$31)/2</f>
        <v>405</v>
      </c>
      <c r="J107" s="16">
        <f>ROUND(300+TAN(PI()*20/180)*H107+(600*B107-(600+I107)*(600+2*TAN(PI()*20/180)*H107))/600,3)</f>
        <v>40367.334999999999</v>
      </c>
      <c r="K107" s="16">
        <f>ROUND(B107+300+TAN(PI()*20/180)*H107+I107*(2*TAN(PI()*20/180)*H107+600)/600,3)</f>
        <v>42632.665000000001</v>
      </c>
      <c r="L107" s="3" t="str">
        <f ca="1">IF(B108&lt;&gt;"","["&amp;B107&amp;","""&amp;C107&amp;""","&amp;D107&amp;","&amp;E107&amp;","&amp;F107&amp;","&amp;G107&amp;","&amp;H107&amp;","&amp;J107&amp;","&amp;K107&amp;"]","["&amp;B107&amp;","""&amp;C107&amp;""","&amp;D107&amp;","&amp;E107&amp;","&amp;F107&amp;","&amp;G107&amp;","&amp;H107&amp;","&amp;J107&amp;","&amp;K107&amp;"]")</f>
        <v>[41500,"belt_2",3,712,0.5,0.5,500,40367.335,42632.665]</v>
      </c>
      <c r="N107"/>
    </row>
    <row r="108" spans="1:14" x14ac:dyDescent="0.25">
      <c r="A108" s="3">
        <v>106</v>
      </c>
      <c r="B108" s="13">
        <v>41850</v>
      </c>
      <c r="C108" s="14" t="s">
        <v>50</v>
      </c>
      <c r="D108" s="13">
        <v>3</v>
      </c>
      <c r="E108" s="13">
        <f ca="1">RANDBETWEEN(0,800)</f>
        <v>738</v>
      </c>
      <c r="F108" s="15">
        <f>SUMIF($Q$6:$Q$10,D108,$R$6:$R$10)</f>
        <v>0.5</v>
      </c>
      <c r="G108" s="15">
        <f>SUMIF($Q$6:$Q$10,D108,$T$6:$T$10)</f>
        <v>0.5</v>
      </c>
      <c r="H108" s="15">
        <f>SUMIF($Q$6:$Q$10,D108,$S$6:$S$10)</f>
        <v>500</v>
      </c>
      <c r="I108" s="15">
        <f>SUMIF($Q$14:$Q$31,C108,$R$14:$R$31)/2</f>
        <v>405</v>
      </c>
      <c r="J108" s="16">
        <f>ROUND(300+TAN(PI()*20/180)*H108+(600*B108-(600+I108)*(600+2*TAN(PI()*20/180)*H108))/600,3)</f>
        <v>40717.334999999999</v>
      </c>
      <c r="K108" s="16">
        <f>ROUND(B108+300+TAN(PI()*20/180)*H108+I108*(2*TAN(PI()*20/180)*H108+600)/600,3)</f>
        <v>42982.665000000001</v>
      </c>
      <c r="L108" s="3" t="str">
        <f ca="1">IF(B109&lt;&gt;"","["&amp;B108&amp;","""&amp;C108&amp;""","&amp;D108&amp;","&amp;E108&amp;","&amp;F108&amp;","&amp;G108&amp;","&amp;H108&amp;","&amp;J108&amp;","&amp;K108&amp;"]","["&amp;B108&amp;","""&amp;C108&amp;""","&amp;D108&amp;","&amp;E108&amp;","&amp;F108&amp;","&amp;G108&amp;","&amp;H108&amp;","&amp;J108&amp;","&amp;K108&amp;"]")</f>
        <v>[41850,"belt_0",3,738,0.5,0.5,500,40717.335,42982.665]</v>
      </c>
      <c r="N108"/>
    </row>
    <row r="109" spans="1:14" x14ac:dyDescent="0.25">
      <c r="A109" s="3">
        <v>107</v>
      </c>
      <c r="B109" s="13">
        <v>42200</v>
      </c>
      <c r="C109" s="14" t="s">
        <v>50</v>
      </c>
      <c r="D109" s="13">
        <v>3</v>
      </c>
      <c r="E109" s="13">
        <f ca="1">RANDBETWEEN(0,800)</f>
        <v>744</v>
      </c>
      <c r="F109" s="15">
        <f>SUMIF($Q$6:$Q$10,D109,$R$6:$R$10)</f>
        <v>0.5</v>
      </c>
      <c r="G109" s="15">
        <f>SUMIF($Q$6:$Q$10,D109,$T$6:$T$10)</f>
        <v>0.5</v>
      </c>
      <c r="H109" s="15">
        <f>SUMIF($Q$6:$Q$10,D109,$S$6:$S$10)</f>
        <v>500</v>
      </c>
      <c r="I109" s="15">
        <f>SUMIF($Q$14:$Q$31,C109,$R$14:$R$31)/2</f>
        <v>405</v>
      </c>
      <c r="J109" s="16">
        <f>ROUND(300+TAN(PI()*20/180)*H109+(600*B109-(600+I109)*(600+2*TAN(PI()*20/180)*H109))/600,3)</f>
        <v>41067.334999999999</v>
      </c>
      <c r="K109" s="16">
        <f>ROUND(B109+300+TAN(PI()*20/180)*H109+I109*(2*TAN(PI()*20/180)*H109+600)/600,3)</f>
        <v>43332.665000000001</v>
      </c>
      <c r="L109" s="3" t="str">
        <f ca="1">IF(B110&lt;&gt;"","["&amp;B109&amp;","""&amp;C109&amp;""","&amp;D109&amp;","&amp;E109&amp;","&amp;F109&amp;","&amp;G109&amp;","&amp;H109&amp;","&amp;J109&amp;","&amp;K109&amp;"]","["&amp;B109&amp;","""&amp;C109&amp;""","&amp;D109&amp;","&amp;E109&amp;","&amp;F109&amp;","&amp;G109&amp;","&amp;H109&amp;","&amp;J109&amp;","&amp;K109&amp;"]")</f>
        <v>[42200,"belt_0",3,744,0.5,0.5,500,41067.335,43332.665]</v>
      </c>
      <c r="N109"/>
    </row>
    <row r="110" spans="1:14" x14ac:dyDescent="0.25">
      <c r="A110" s="3">
        <v>108</v>
      </c>
      <c r="B110" s="13">
        <v>42550</v>
      </c>
      <c r="C110" s="14" t="s">
        <v>52</v>
      </c>
      <c r="D110" s="13">
        <v>3</v>
      </c>
      <c r="E110" s="13">
        <f ca="1">RANDBETWEEN(0,800)</f>
        <v>800</v>
      </c>
      <c r="F110" s="15">
        <f>SUMIF($Q$6:$Q$10,D110,$R$6:$R$10)</f>
        <v>0.5</v>
      </c>
      <c r="G110" s="15">
        <f>SUMIF($Q$6:$Q$10,D110,$T$6:$T$10)</f>
        <v>0.5</v>
      </c>
      <c r="H110" s="15">
        <f>SUMIF($Q$6:$Q$10,D110,$S$6:$S$10)</f>
        <v>500</v>
      </c>
      <c r="I110" s="15">
        <f>SUMIF($Q$14:$Q$31,C110,$R$14:$R$31)/2</f>
        <v>405</v>
      </c>
      <c r="J110" s="16">
        <f>ROUND(300+TAN(PI()*20/180)*H110+(600*B110-(600+I110)*(600+2*TAN(PI()*20/180)*H110))/600,3)</f>
        <v>41417.334999999999</v>
      </c>
      <c r="K110" s="16">
        <f>ROUND(B110+300+TAN(PI()*20/180)*H110+I110*(2*TAN(PI()*20/180)*H110+600)/600,3)</f>
        <v>43682.665000000001</v>
      </c>
      <c r="L110" s="3" t="str">
        <f ca="1">IF(B111&lt;&gt;"","["&amp;B110&amp;","""&amp;C110&amp;""","&amp;D110&amp;","&amp;E110&amp;","&amp;F110&amp;","&amp;G110&amp;","&amp;H110&amp;","&amp;J110&amp;","&amp;K110&amp;"]","["&amp;B110&amp;","""&amp;C110&amp;""","&amp;D110&amp;","&amp;E110&amp;","&amp;F110&amp;","&amp;G110&amp;","&amp;H110&amp;","&amp;J110&amp;","&amp;K110&amp;"]")</f>
        <v>[42550,"belt_2",3,800,0.5,0.5,500,41417.335,43682.665]</v>
      </c>
      <c r="N110"/>
    </row>
    <row r="111" spans="1:14" x14ac:dyDescent="0.25">
      <c r="A111" s="3">
        <v>109</v>
      </c>
      <c r="B111" s="13">
        <v>42900</v>
      </c>
      <c r="C111" s="14" t="s">
        <v>51</v>
      </c>
      <c r="D111" s="13">
        <v>3</v>
      </c>
      <c r="E111" s="13">
        <f ca="1">RANDBETWEEN(0,800)</f>
        <v>223</v>
      </c>
      <c r="F111" s="15">
        <f>SUMIF($Q$6:$Q$10,D111,$R$6:$R$10)</f>
        <v>0.5</v>
      </c>
      <c r="G111" s="15">
        <f>SUMIF($Q$6:$Q$10,D111,$T$6:$T$10)</f>
        <v>0.5</v>
      </c>
      <c r="H111" s="15">
        <f>SUMIF($Q$6:$Q$10,D111,$S$6:$S$10)</f>
        <v>500</v>
      </c>
      <c r="I111" s="15">
        <f>SUMIF($Q$14:$Q$31,C111,$R$14:$R$31)/2</f>
        <v>284</v>
      </c>
      <c r="J111" s="16">
        <f>ROUND(300+TAN(PI()*20/180)*H111+(600*B111-(600+I111)*(600+2*TAN(PI()*20/180)*H111))/600,3)</f>
        <v>41961.735999999997</v>
      </c>
      <c r="K111" s="16">
        <f>ROUND(B111+300+TAN(PI()*20/180)*H111+I111*(2*TAN(PI()*20/180)*H111+600)/600,3)</f>
        <v>43838.264000000003</v>
      </c>
      <c r="L111" s="3" t="str">
        <f ca="1">IF(B112&lt;&gt;"","["&amp;B111&amp;","""&amp;C111&amp;""","&amp;D111&amp;","&amp;E111&amp;","&amp;F111&amp;","&amp;G111&amp;","&amp;H111&amp;","&amp;J111&amp;","&amp;K111&amp;"]","["&amp;B111&amp;","""&amp;C111&amp;""","&amp;D111&amp;","&amp;E111&amp;","&amp;F111&amp;","&amp;G111&amp;","&amp;H111&amp;","&amp;J111&amp;","&amp;K111&amp;"]")</f>
        <v>[42900,"belt_1",3,223,0.5,0.5,500,41961.736,43838.264]</v>
      </c>
      <c r="N111"/>
    </row>
    <row r="112" spans="1:14" x14ac:dyDescent="0.25">
      <c r="A112" s="3">
        <v>110</v>
      </c>
      <c r="B112" s="13">
        <v>43250</v>
      </c>
      <c r="C112" s="14" t="s">
        <v>50</v>
      </c>
      <c r="D112" s="13">
        <v>3</v>
      </c>
      <c r="E112" s="13">
        <f ca="1">RANDBETWEEN(0,800)</f>
        <v>507</v>
      </c>
      <c r="F112" s="15">
        <f>SUMIF($Q$6:$Q$10,D112,$R$6:$R$10)</f>
        <v>0.5</v>
      </c>
      <c r="G112" s="15">
        <f>SUMIF($Q$6:$Q$10,D112,$T$6:$T$10)</f>
        <v>0.5</v>
      </c>
      <c r="H112" s="15">
        <f>SUMIF($Q$6:$Q$10,D112,$S$6:$S$10)</f>
        <v>500</v>
      </c>
      <c r="I112" s="15">
        <f>SUMIF($Q$14:$Q$31,C112,$R$14:$R$31)/2</f>
        <v>405</v>
      </c>
      <c r="J112" s="16">
        <f>ROUND(300+TAN(PI()*20/180)*H112+(600*B112-(600+I112)*(600+2*TAN(PI()*20/180)*H112))/600,3)</f>
        <v>42117.334999999999</v>
      </c>
      <c r="K112" s="16">
        <f>ROUND(B112+300+TAN(PI()*20/180)*H112+I112*(2*TAN(PI()*20/180)*H112+600)/600,3)</f>
        <v>44382.665000000001</v>
      </c>
      <c r="L112" s="3" t="str">
        <f ca="1">IF(B113&lt;&gt;"","["&amp;B112&amp;","""&amp;C112&amp;""","&amp;D112&amp;","&amp;E112&amp;","&amp;F112&amp;","&amp;G112&amp;","&amp;H112&amp;","&amp;J112&amp;","&amp;K112&amp;"]","["&amp;B112&amp;","""&amp;C112&amp;""","&amp;D112&amp;","&amp;E112&amp;","&amp;F112&amp;","&amp;G112&amp;","&amp;H112&amp;","&amp;J112&amp;","&amp;K112&amp;"]")</f>
        <v>[43250,"belt_0",3,507,0.5,0.5,500,42117.335,44382.665]</v>
      </c>
      <c r="N112"/>
    </row>
    <row r="113" spans="1:14" x14ac:dyDescent="0.25">
      <c r="A113" s="3">
        <v>111</v>
      </c>
      <c r="B113" s="13">
        <v>43600</v>
      </c>
      <c r="C113" s="14" t="s">
        <v>52</v>
      </c>
      <c r="D113" s="13">
        <v>3</v>
      </c>
      <c r="E113" s="13">
        <f ca="1">RANDBETWEEN(0,800)</f>
        <v>8</v>
      </c>
      <c r="F113" s="15">
        <f>SUMIF($Q$6:$Q$10,D113,$R$6:$R$10)</f>
        <v>0.5</v>
      </c>
      <c r="G113" s="15">
        <f>SUMIF($Q$6:$Q$10,D113,$T$6:$T$10)</f>
        <v>0.5</v>
      </c>
      <c r="H113" s="15">
        <f>SUMIF($Q$6:$Q$10,D113,$S$6:$S$10)</f>
        <v>500</v>
      </c>
      <c r="I113" s="15">
        <f>SUMIF($Q$14:$Q$31,C113,$R$14:$R$31)/2</f>
        <v>405</v>
      </c>
      <c r="J113" s="16">
        <f>ROUND(300+TAN(PI()*20/180)*H113+(600*B113-(600+I113)*(600+2*TAN(PI()*20/180)*H113))/600,3)</f>
        <v>42467.334999999999</v>
      </c>
      <c r="K113" s="16">
        <f>ROUND(B113+300+TAN(PI()*20/180)*H113+I113*(2*TAN(PI()*20/180)*H113+600)/600,3)</f>
        <v>44732.665000000001</v>
      </c>
      <c r="L113" s="3" t="str">
        <f ca="1">IF(B114&lt;&gt;"","["&amp;B113&amp;","""&amp;C113&amp;""","&amp;D113&amp;","&amp;E113&amp;","&amp;F113&amp;","&amp;G113&amp;","&amp;H113&amp;","&amp;J113&amp;","&amp;K113&amp;"]","["&amp;B113&amp;","""&amp;C113&amp;""","&amp;D113&amp;","&amp;E113&amp;","&amp;F113&amp;","&amp;G113&amp;","&amp;H113&amp;","&amp;J113&amp;","&amp;K113&amp;"]")</f>
        <v>[43600,"belt_2",3,8,0.5,0.5,500,42467.335,44732.665]</v>
      </c>
      <c r="N113"/>
    </row>
    <row r="114" spans="1:14" x14ac:dyDescent="0.25">
      <c r="A114" s="3">
        <v>112</v>
      </c>
      <c r="B114" s="13">
        <v>43950</v>
      </c>
      <c r="C114" s="14" t="s">
        <v>51</v>
      </c>
      <c r="D114" s="13">
        <v>3</v>
      </c>
      <c r="E114" s="13">
        <f ca="1">RANDBETWEEN(0,800)</f>
        <v>94</v>
      </c>
      <c r="F114" s="15">
        <f>SUMIF($Q$6:$Q$10,D114,$R$6:$R$10)</f>
        <v>0.5</v>
      </c>
      <c r="G114" s="15">
        <f>SUMIF($Q$6:$Q$10,D114,$T$6:$T$10)</f>
        <v>0.5</v>
      </c>
      <c r="H114" s="15">
        <f>SUMIF($Q$6:$Q$10,D114,$S$6:$S$10)</f>
        <v>500</v>
      </c>
      <c r="I114" s="15">
        <f>SUMIF($Q$14:$Q$31,C114,$R$14:$R$31)/2</f>
        <v>284</v>
      </c>
      <c r="J114" s="16">
        <f>ROUND(300+TAN(PI()*20/180)*H114+(600*B114-(600+I114)*(600+2*TAN(PI()*20/180)*H114))/600,3)</f>
        <v>43011.735999999997</v>
      </c>
      <c r="K114" s="16">
        <f>ROUND(B114+300+TAN(PI()*20/180)*H114+I114*(2*TAN(PI()*20/180)*H114+600)/600,3)</f>
        <v>44888.264000000003</v>
      </c>
      <c r="L114" s="3" t="str">
        <f ca="1">IF(B115&lt;&gt;"","["&amp;B114&amp;","""&amp;C114&amp;""","&amp;D114&amp;","&amp;E114&amp;","&amp;F114&amp;","&amp;G114&amp;","&amp;H114&amp;","&amp;J114&amp;","&amp;K114&amp;"]","["&amp;B114&amp;","""&amp;C114&amp;""","&amp;D114&amp;","&amp;E114&amp;","&amp;F114&amp;","&amp;G114&amp;","&amp;H114&amp;","&amp;J114&amp;","&amp;K114&amp;"]")</f>
        <v>[43950,"belt_1",3,94,0.5,0.5,500,43011.736,44888.264]</v>
      </c>
      <c r="N114"/>
    </row>
    <row r="115" spans="1:14" x14ac:dyDescent="0.25">
      <c r="A115" s="3">
        <v>113</v>
      </c>
      <c r="B115" s="13">
        <v>44300</v>
      </c>
      <c r="C115" s="14" t="s">
        <v>52</v>
      </c>
      <c r="D115" s="13">
        <v>3</v>
      </c>
      <c r="E115" s="13">
        <f ca="1">RANDBETWEEN(0,800)</f>
        <v>620</v>
      </c>
      <c r="F115" s="15">
        <f>SUMIF($Q$6:$Q$10,D115,$R$6:$R$10)</f>
        <v>0.5</v>
      </c>
      <c r="G115" s="15">
        <f>SUMIF($Q$6:$Q$10,D115,$T$6:$T$10)</f>
        <v>0.5</v>
      </c>
      <c r="H115" s="15">
        <f>SUMIF($Q$6:$Q$10,D115,$S$6:$S$10)</f>
        <v>500</v>
      </c>
      <c r="I115" s="15">
        <f>SUMIF($Q$14:$Q$31,C115,$R$14:$R$31)/2</f>
        <v>405</v>
      </c>
      <c r="J115" s="16">
        <f>ROUND(300+TAN(PI()*20/180)*H115+(600*B115-(600+I115)*(600+2*TAN(PI()*20/180)*H115))/600,3)</f>
        <v>43167.334999999999</v>
      </c>
      <c r="K115" s="16">
        <f>ROUND(B115+300+TAN(PI()*20/180)*H115+I115*(2*TAN(PI()*20/180)*H115+600)/600,3)</f>
        <v>45432.665000000001</v>
      </c>
      <c r="L115" s="3" t="str">
        <f ca="1">IF(B116&lt;&gt;"","["&amp;B115&amp;","""&amp;C115&amp;""","&amp;D115&amp;","&amp;E115&amp;","&amp;F115&amp;","&amp;G115&amp;","&amp;H115&amp;","&amp;J115&amp;","&amp;K115&amp;"]","["&amp;B115&amp;","""&amp;C115&amp;""","&amp;D115&amp;","&amp;E115&amp;","&amp;F115&amp;","&amp;G115&amp;","&amp;H115&amp;","&amp;J115&amp;","&amp;K115&amp;"]")</f>
        <v>[44300,"belt_2",3,620,0.5,0.5,500,43167.335,45432.665]</v>
      </c>
      <c r="N115"/>
    </row>
    <row r="116" spans="1:14" x14ac:dyDescent="0.25">
      <c r="A116" s="3">
        <v>114</v>
      </c>
      <c r="B116" s="13">
        <v>44650</v>
      </c>
      <c r="C116" s="14" t="s">
        <v>50</v>
      </c>
      <c r="D116" s="13">
        <v>3</v>
      </c>
      <c r="E116" s="13">
        <f ca="1">RANDBETWEEN(0,800)</f>
        <v>337</v>
      </c>
      <c r="F116" s="15">
        <f>SUMIF($Q$6:$Q$10,D116,$R$6:$R$10)</f>
        <v>0.5</v>
      </c>
      <c r="G116" s="15">
        <f>SUMIF($Q$6:$Q$10,D116,$T$6:$T$10)</f>
        <v>0.5</v>
      </c>
      <c r="H116" s="15">
        <f>SUMIF($Q$6:$Q$10,D116,$S$6:$S$10)</f>
        <v>500</v>
      </c>
      <c r="I116" s="15">
        <f>SUMIF($Q$14:$Q$31,C116,$R$14:$R$31)/2</f>
        <v>405</v>
      </c>
      <c r="J116" s="16">
        <f>ROUND(300+TAN(PI()*20/180)*H116+(600*B116-(600+I116)*(600+2*TAN(PI()*20/180)*H116))/600,3)</f>
        <v>43517.334999999999</v>
      </c>
      <c r="K116" s="16">
        <f>ROUND(B116+300+TAN(PI()*20/180)*H116+I116*(2*TAN(PI()*20/180)*H116+600)/600,3)</f>
        <v>45782.665000000001</v>
      </c>
      <c r="L116" s="3" t="str">
        <f ca="1">IF(B117&lt;&gt;"","["&amp;B116&amp;","""&amp;C116&amp;""","&amp;D116&amp;","&amp;E116&amp;","&amp;F116&amp;","&amp;G116&amp;","&amp;H116&amp;","&amp;J116&amp;","&amp;K116&amp;"]","["&amp;B116&amp;","""&amp;C116&amp;""","&amp;D116&amp;","&amp;E116&amp;","&amp;F116&amp;","&amp;G116&amp;","&amp;H116&amp;","&amp;J116&amp;","&amp;K116&amp;"]")</f>
        <v>[44650,"belt_0",3,337,0.5,0.5,500,43517.335,45782.665]</v>
      </c>
      <c r="N116"/>
    </row>
    <row r="117" spans="1:14" x14ac:dyDescent="0.25">
      <c r="A117" s="3">
        <v>115</v>
      </c>
      <c r="B117" s="13">
        <v>45000</v>
      </c>
      <c r="C117" s="14" t="s">
        <v>51</v>
      </c>
      <c r="D117" s="13">
        <v>3</v>
      </c>
      <c r="E117" s="13">
        <f ca="1">RANDBETWEEN(0,800)</f>
        <v>45</v>
      </c>
      <c r="F117" s="15">
        <f>SUMIF($Q$6:$Q$10,D117,$R$6:$R$10)</f>
        <v>0.5</v>
      </c>
      <c r="G117" s="15">
        <f>SUMIF($Q$6:$Q$10,D117,$T$6:$T$10)</f>
        <v>0.5</v>
      </c>
      <c r="H117" s="15">
        <f>SUMIF($Q$6:$Q$10,D117,$S$6:$S$10)</f>
        <v>500</v>
      </c>
      <c r="I117" s="15">
        <f>SUMIF($Q$14:$Q$31,C117,$R$14:$R$31)/2</f>
        <v>284</v>
      </c>
      <c r="J117" s="16">
        <f>ROUND(300+TAN(PI()*20/180)*H117+(600*B117-(600+I117)*(600+2*TAN(PI()*20/180)*H117))/600,3)</f>
        <v>44061.735999999997</v>
      </c>
      <c r="K117" s="16">
        <f>ROUND(B117+300+TAN(PI()*20/180)*H117+I117*(2*TAN(PI()*20/180)*H117+600)/600,3)</f>
        <v>45938.264000000003</v>
      </c>
      <c r="L117" s="3" t="str">
        <f ca="1">IF(B118&lt;&gt;"","["&amp;B117&amp;","""&amp;C117&amp;""","&amp;D117&amp;","&amp;E117&amp;","&amp;F117&amp;","&amp;G117&amp;","&amp;H117&amp;","&amp;J117&amp;","&amp;K117&amp;"]","["&amp;B117&amp;","""&amp;C117&amp;""","&amp;D117&amp;","&amp;E117&amp;","&amp;F117&amp;","&amp;G117&amp;","&amp;H117&amp;","&amp;J117&amp;","&amp;K117&amp;"]")</f>
        <v>[45000,"belt_1",3,45,0.5,0.5,500,44061.736,45938.264]</v>
      </c>
      <c r="N117"/>
    </row>
    <row r="118" spans="1:14" x14ac:dyDescent="0.25">
      <c r="A118" s="3">
        <v>116</v>
      </c>
      <c r="B118" s="13">
        <v>45350</v>
      </c>
      <c r="C118" s="14" t="s">
        <v>50</v>
      </c>
      <c r="D118" s="13">
        <v>3</v>
      </c>
      <c r="E118" s="13">
        <f ca="1">RANDBETWEEN(0,800)</f>
        <v>640</v>
      </c>
      <c r="F118" s="15">
        <f>SUMIF($Q$6:$Q$10,D118,$R$6:$R$10)</f>
        <v>0.5</v>
      </c>
      <c r="G118" s="15">
        <f>SUMIF($Q$6:$Q$10,D118,$T$6:$T$10)</f>
        <v>0.5</v>
      </c>
      <c r="H118" s="15">
        <f>SUMIF($Q$6:$Q$10,D118,$S$6:$S$10)</f>
        <v>500</v>
      </c>
      <c r="I118" s="15">
        <f>SUMIF($Q$14:$Q$31,C118,$R$14:$R$31)/2</f>
        <v>405</v>
      </c>
      <c r="J118" s="16">
        <f>ROUND(300+TAN(PI()*20/180)*H118+(600*B118-(600+I118)*(600+2*TAN(PI()*20/180)*H118))/600,3)</f>
        <v>44217.334999999999</v>
      </c>
      <c r="K118" s="16">
        <f>ROUND(B118+300+TAN(PI()*20/180)*H118+I118*(2*TAN(PI()*20/180)*H118+600)/600,3)</f>
        <v>46482.665000000001</v>
      </c>
      <c r="L118" s="3" t="str">
        <f ca="1">IF(B119&lt;&gt;"","["&amp;B118&amp;","""&amp;C118&amp;""","&amp;D118&amp;","&amp;E118&amp;","&amp;F118&amp;","&amp;G118&amp;","&amp;H118&amp;","&amp;J118&amp;","&amp;K118&amp;"]","["&amp;B118&amp;","""&amp;C118&amp;""","&amp;D118&amp;","&amp;E118&amp;","&amp;F118&amp;","&amp;G118&amp;","&amp;H118&amp;","&amp;J118&amp;","&amp;K118&amp;"]")</f>
        <v>[45350,"belt_0",3,640,0.5,0.5,500,44217.335,46482.665]</v>
      </c>
      <c r="N118"/>
    </row>
    <row r="119" spans="1:14" x14ac:dyDescent="0.25">
      <c r="A119" s="3">
        <v>117</v>
      </c>
      <c r="B119" s="13">
        <v>45700</v>
      </c>
      <c r="C119" s="14" t="s">
        <v>50</v>
      </c>
      <c r="D119" s="13">
        <v>3</v>
      </c>
      <c r="E119" s="13">
        <f ca="1">RANDBETWEEN(0,800)</f>
        <v>778</v>
      </c>
      <c r="F119" s="15">
        <f>SUMIF($Q$6:$Q$10,D119,$R$6:$R$10)</f>
        <v>0.5</v>
      </c>
      <c r="G119" s="15">
        <f>SUMIF($Q$6:$Q$10,D119,$T$6:$T$10)</f>
        <v>0.5</v>
      </c>
      <c r="H119" s="15">
        <f>SUMIF($Q$6:$Q$10,D119,$S$6:$S$10)</f>
        <v>500</v>
      </c>
      <c r="I119" s="15">
        <f>SUMIF($Q$14:$Q$31,C119,$R$14:$R$31)/2</f>
        <v>405</v>
      </c>
      <c r="J119" s="16">
        <f>ROUND(300+TAN(PI()*20/180)*H119+(600*B119-(600+I119)*(600+2*TAN(PI()*20/180)*H119))/600,3)</f>
        <v>44567.334999999999</v>
      </c>
      <c r="K119" s="16">
        <f>ROUND(B119+300+TAN(PI()*20/180)*H119+I119*(2*TAN(PI()*20/180)*H119+600)/600,3)</f>
        <v>46832.665000000001</v>
      </c>
      <c r="L119" s="3" t="str">
        <f ca="1">IF(B120&lt;&gt;"","["&amp;B119&amp;","""&amp;C119&amp;""","&amp;D119&amp;","&amp;E119&amp;","&amp;F119&amp;","&amp;G119&amp;","&amp;H119&amp;","&amp;J119&amp;","&amp;K119&amp;"]","["&amp;B119&amp;","""&amp;C119&amp;""","&amp;D119&amp;","&amp;E119&amp;","&amp;F119&amp;","&amp;G119&amp;","&amp;H119&amp;","&amp;J119&amp;","&amp;K119&amp;"]")</f>
        <v>[45700,"belt_0",3,778,0.5,0.5,500,44567.335,46832.665]</v>
      </c>
      <c r="N119"/>
    </row>
    <row r="120" spans="1:14" x14ac:dyDescent="0.25">
      <c r="A120" s="3">
        <v>118</v>
      </c>
      <c r="B120" s="13">
        <v>46050</v>
      </c>
      <c r="C120" s="14" t="s">
        <v>51</v>
      </c>
      <c r="D120" s="13">
        <v>3</v>
      </c>
      <c r="E120" s="13">
        <f ca="1">RANDBETWEEN(0,800)</f>
        <v>776</v>
      </c>
      <c r="F120" s="15">
        <f>SUMIF($Q$6:$Q$10,D120,$R$6:$R$10)</f>
        <v>0.5</v>
      </c>
      <c r="G120" s="15">
        <f>SUMIF($Q$6:$Q$10,D120,$T$6:$T$10)</f>
        <v>0.5</v>
      </c>
      <c r="H120" s="15">
        <f>SUMIF($Q$6:$Q$10,D120,$S$6:$S$10)</f>
        <v>500</v>
      </c>
      <c r="I120" s="15">
        <f>SUMIF($Q$14:$Q$31,C120,$R$14:$R$31)/2</f>
        <v>284</v>
      </c>
      <c r="J120" s="16">
        <f>ROUND(300+TAN(PI()*20/180)*H120+(600*B120-(600+I120)*(600+2*TAN(PI()*20/180)*H120))/600,3)</f>
        <v>45111.735999999997</v>
      </c>
      <c r="K120" s="16">
        <f>ROUND(B120+300+TAN(PI()*20/180)*H120+I120*(2*TAN(PI()*20/180)*H120+600)/600,3)</f>
        <v>46988.264000000003</v>
      </c>
      <c r="L120" s="3" t="str">
        <f ca="1">IF(B121&lt;&gt;"","["&amp;B120&amp;","""&amp;C120&amp;""","&amp;D120&amp;","&amp;E120&amp;","&amp;F120&amp;","&amp;G120&amp;","&amp;H120&amp;","&amp;J120&amp;","&amp;K120&amp;"]","["&amp;B120&amp;","""&amp;C120&amp;""","&amp;D120&amp;","&amp;E120&amp;","&amp;F120&amp;","&amp;G120&amp;","&amp;H120&amp;","&amp;J120&amp;","&amp;K120&amp;"]")</f>
        <v>[46050,"belt_1",3,776,0.5,0.5,500,45111.736,46988.264]</v>
      </c>
      <c r="N120"/>
    </row>
    <row r="121" spans="1:14" x14ac:dyDescent="0.25">
      <c r="A121" s="3">
        <v>119</v>
      </c>
      <c r="B121" s="13">
        <v>46400</v>
      </c>
      <c r="C121" s="14" t="s">
        <v>52</v>
      </c>
      <c r="D121" s="13">
        <v>3</v>
      </c>
      <c r="E121" s="13">
        <f ca="1">RANDBETWEEN(0,800)</f>
        <v>463</v>
      </c>
      <c r="F121" s="15">
        <f>SUMIF($Q$6:$Q$10,D121,$R$6:$R$10)</f>
        <v>0.5</v>
      </c>
      <c r="G121" s="15">
        <f>SUMIF($Q$6:$Q$10,D121,$T$6:$T$10)</f>
        <v>0.5</v>
      </c>
      <c r="H121" s="15">
        <f>SUMIF($Q$6:$Q$10,D121,$S$6:$S$10)</f>
        <v>500</v>
      </c>
      <c r="I121" s="15">
        <f>SUMIF($Q$14:$Q$31,C121,$R$14:$R$31)/2</f>
        <v>405</v>
      </c>
      <c r="J121" s="16">
        <f>ROUND(300+TAN(PI()*20/180)*H121+(600*B121-(600+I121)*(600+2*TAN(PI()*20/180)*H121))/600,3)</f>
        <v>45267.334999999999</v>
      </c>
      <c r="K121" s="16">
        <f>ROUND(B121+300+TAN(PI()*20/180)*H121+I121*(2*TAN(PI()*20/180)*H121+600)/600,3)</f>
        <v>47532.665000000001</v>
      </c>
      <c r="L121" s="3" t="str">
        <f ca="1">IF(B122&lt;&gt;"","["&amp;B121&amp;","""&amp;C121&amp;""","&amp;D121&amp;","&amp;E121&amp;","&amp;F121&amp;","&amp;G121&amp;","&amp;H121&amp;","&amp;J121&amp;","&amp;K121&amp;"]","["&amp;B121&amp;","""&amp;C121&amp;""","&amp;D121&amp;","&amp;E121&amp;","&amp;F121&amp;","&amp;G121&amp;","&amp;H121&amp;","&amp;J121&amp;","&amp;K121&amp;"]")</f>
        <v>[46400,"belt_2",3,463,0.5,0.5,500,45267.335,47532.665]</v>
      </c>
      <c r="N121"/>
    </row>
    <row r="122" spans="1:14" x14ac:dyDescent="0.25">
      <c r="A122" s="3">
        <v>120</v>
      </c>
      <c r="B122" s="13">
        <v>46750</v>
      </c>
      <c r="C122" s="14" t="s">
        <v>50</v>
      </c>
      <c r="D122" s="13">
        <v>3</v>
      </c>
      <c r="E122" s="13">
        <f ca="1">RANDBETWEEN(0,800)</f>
        <v>439</v>
      </c>
      <c r="F122" s="15">
        <f>SUMIF($Q$6:$Q$10,D122,$R$6:$R$10)</f>
        <v>0.5</v>
      </c>
      <c r="G122" s="15">
        <f>SUMIF($Q$6:$Q$10,D122,$T$6:$T$10)</f>
        <v>0.5</v>
      </c>
      <c r="H122" s="15">
        <f>SUMIF($Q$6:$Q$10,D122,$S$6:$S$10)</f>
        <v>500</v>
      </c>
      <c r="I122" s="15">
        <f>SUMIF($Q$14:$Q$31,C122,$R$14:$R$31)/2</f>
        <v>405</v>
      </c>
      <c r="J122" s="16">
        <f>ROUND(300+TAN(PI()*20/180)*H122+(600*B122-(600+I122)*(600+2*TAN(PI()*20/180)*H122))/600,3)</f>
        <v>45617.334999999999</v>
      </c>
      <c r="K122" s="16">
        <f>ROUND(B122+300+TAN(PI()*20/180)*H122+I122*(2*TAN(PI()*20/180)*H122+600)/600,3)</f>
        <v>47882.665000000001</v>
      </c>
      <c r="L122" s="3" t="str">
        <f ca="1">IF(B123&lt;&gt;"","["&amp;B122&amp;","""&amp;C122&amp;""","&amp;D122&amp;","&amp;E122&amp;","&amp;F122&amp;","&amp;G122&amp;","&amp;H122&amp;","&amp;J122&amp;","&amp;K122&amp;"]","["&amp;B122&amp;","""&amp;C122&amp;""","&amp;D122&amp;","&amp;E122&amp;","&amp;F122&amp;","&amp;G122&amp;","&amp;H122&amp;","&amp;J122&amp;","&amp;K122&amp;"]")</f>
        <v>[46750,"belt_0",3,439,0.5,0.5,500,45617.335,47882.665]</v>
      </c>
      <c r="N122"/>
    </row>
    <row r="123" spans="1:14" x14ac:dyDescent="0.25">
      <c r="A123" s="3">
        <v>122</v>
      </c>
      <c r="B123" s="13">
        <v>47100</v>
      </c>
      <c r="C123" s="14" t="s">
        <v>51</v>
      </c>
      <c r="D123" s="13">
        <v>3</v>
      </c>
      <c r="E123" s="13">
        <f ca="1">RANDBETWEEN(0,800)</f>
        <v>472</v>
      </c>
      <c r="F123" s="15">
        <f>SUMIF($Q$6:$Q$10,D123,$R$6:$R$10)</f>
        <v>0.5</v>
      </c>
      <c r="G123" s="15">
        <f>SUMIF($Q$6:$Q$10,D123,$T$6:$T$10)</f>
        <v>0.5</v>
      </c>
      <c r="H123" s="15">
        <f>SUMIF($Q$6:$Q$10,D123,$S$6:$S$10)</f>
        <v>500</v>
      </c>
      <c r="I123" s="15">
        <f>SUMIF($Q$14:$Q$31,C123,$R$14:$R$31)/2</f>
        <v>284</v>
      </c>
      <c r="J123" s="16">
        <f>ROUND(300+TAN(PI()*20/180)*H123+(600*B123-(600+I123)*(600+2*TAN(PI()*20/180)*H123))/600,3)</f>
        <v>46161.735999999997</v>
      </c>
      <c r="K123" s="16">
        <f>ROUND(B123+300+TAN(PI()*20/180)*H123+I123*(2*TAN(PI()*20/180)*H123+600)/600,3)</f>
        <v>48038.264000000003</v>
      </c>
      <c r="L123" s="3" t="str">
        <f ca="1">IF(B124&lt;&gt;"","["&amp;B123&amp;","""&amp;C123&amp;""","&amp;D123&amp;","&amp;E123&amp;","&amp;F123&amp;","&amp;G123&amp;","&amp;H123&amp;","&amp;J123&amp;","&amp;K123&amp;"]","["&amp;B123&amp;","""&amp;C123&amp;""","&amp;D123&amp;","&amp;E123&amp;","&amp;F123&amp;","&amp;G123&amp;","&amp;H123&amp;","&amp;J123&amp;","&amp;K123&amp;"]")</f>
        <v>[47100,"belt_1",3,472,0.5,0.5,500,46161.736,48038.264]</v>
      </c>
      <c r="N123"/>
    </row>
    <row r="124" spans="1:14" x14ac:dyDescent="0.25">
      <c r="A124" s="3">
        <v>123</v>
      </c>
      <c r="B124" s="13">
        <v>47450</v>
      </c>
      <c r="C124" s="14" t="s">
        <v>52</v>
      </c>
      <c r="D124" s="13">
        <v>3</v>
      </c>
      <c r="E124" s="13">
        <f ca="1">RANDBETWEEN(0,800)</f>
        <v>477</v>
      </c>
      <c r="F124" s="15">
        <f>SUMIF($Q$6:$Q$10,D124,$R$6:$R$10)</f>
        <v>0.5</v>
      </c>
      <c r="G124" s="15">
        <f>SUMIF($Q$6:$Q$10,D124,$T$6:$T$10)</f>
        <v>0.5</v>
      </c>
      <c r="H124" s="15">
        <f>SUMIF($Q$6:$Q$10,D124,$S$6:$S$10)</f>
        <v>500</v>
      </c>
      <c r="I124" s="15">
        <f>SUMIF($Q$14:$Q$31,C124,$R$14:$R$31)/2</f>
        <v>405</v>
      </c>
      <c r="J124" s="16">
        <f>ROUND(300+TAN(PI()*20/180)*H124+(600*B124-(600+I124)*(600+2*TAN(PI()*20/180)*H124))/600,3)</f>
        <v>46317.334999999999</v>
      </c>
      <c r="K124" s="16">
        <f>ROUND(B124+300+TAN(PI()*20/180)*H124+I124*(2*TAN(PI()*20/180)*H124+600)/600,3)</f>
        <v>48582.665000000001</v>
      </c>
      <c r="L124" s="3" t="str">
        <f ca="1">IF(B125&lt;&gt;"","["&amp;B124&amp;","""&amp;C124&amp;""","&amp;D124&amp;","&amp;E124&amp;","&amp;F124&amp;","&amp;G124&amp;","&amp;H124&amp;","&amp;J124&amp;","&amp;K124&amp;"]","["&amp;B124&amp;","""&amp;C124&amp;""","&amp;D124&amp;","&amp;E124&amp;","&amp;F124&amp;","&amp;G124&amp;","&amp;H124&amp;","&amp;J124&amp;","&amp;K124&amp;"]")</f>
        <v>[47450,"belt_2",3,477,0.5,0.5,500,46317.335,48582.665]</v>
      </c>
      <c r="N124"/>
    </row>
    <row r="125" spans="1:14" x14ac:dyDescent="0.25">
      <c r="A125" s="3">
        <v>124</v>
      </c>
      <c r="B125" s="13">
        <v>47800</v>
      </c>
      <c r="C125" s="14" t="s">
        <v>51</v>
      </c>
      <c r="D125" s="13">
        <v>3</v>
      </c>
      <c r="E125" s="13">
        <f ca="1">RANDBETWEEN(0,800)</f>
        <v>99</v>
      </c>
      <c r="F125" s="15">
        <f>SUMIF($Q$6:$Q$10,D125,$R$6:$R$10)</f>
        <v>0.5</v>
      </c>
      <c r="G125" s="15">
        <f>SUMIF($Q$6:$Q$10,D125,$T$6:$T$10)</f>
        <v>0.5</v>
      </c>
      <c r="H125" s="15">
        <f>SUMIF($Q$6:$Q$10,D125,$S$6:$S$10)</f>
        <v>500</v>
      </c>
      <c r="I125" s="15">
        <f>SUMIF($Q$14:$Q$31,C125,$R$14:$R$31)/2</f>
        <v>284</v>
      </c>
      <c r="J125" s="16">
        <f>ROUND(300+TAN(PI()*20/180)*H125+(600*B125-(600+I125)*(600+2*TAN(PI()*20/180)*H125))/600,3)</f>
        <v>46861.735999999997</v>
      </c>
      <c r="K125" s="16">
        <f>ROUND(B125+300+TAN(PI()*20/180)*H125+I125*(2*TAN(PI()*20/180)*H125+600)/600,3)</f>
        <v>48738.264000000003</v>
      </c>
      <c r="L125" s="3" t="str">
        <f ca="1">IF(B126&lt;&gt;"","["&amp;B125&amp;","""&amp;C125&amp;""","&amp;D125&amp;","&amp;E125&amp;","&amp;F125&amp;","&amp;G125&amp;","&amp;H125&amp;","&amp;J125&amp;","&amp;K125&amp;"]","["&amp;B125&amp;","""&amp;C125&amp;""","&amp;D125&amp;","&amp;E125&amp;","&amp;F125&amp;","&amp;G125&amp;","&amp;H125&amp;","&amp;J125&amp;","&amp;K125&amp;"]")</f>
        <v>[47800,"belt_1",3,99,0.5,0.5,500,46861.736,48738.264]</v>
      </c>
      <c r="N125"/>
    </row>
    <row r="126" spans="1:14" x14ac:dyDescent="0.25">
      <c r="A126" s="3">
        <v>125</v>
      </c>
      <c r="B126" s="13">
        <v>48150</v>
      </c>
      <c r="C126" s="14" t="s">
        <v>52</v>
      </c>
      <c r="D126" s="13">
        <v>3</v>
      </c>
      <c r="E126" s="13">
        <f ca="1">RANDBETWEEN(0,800)</f>
        <v>469</v>
      </c>
      <c r="F126" s="15">
        <f>SUMIF($Q$6:$Q$10,D126,$R$6:$R$10)</f>
        <v>0.5</v>
      </c>
      <c r="G126" s="15">
        <f>SUMIF($Q$6:$Q$10,D126,$T$6:$T$10)</f>
        <v>0.5</v>
      </c>
      <c r="H126" s="15">
        <f>SUMIF($Q$6:$Q$10,D126,$S$6:$S$10)</f>
        <v>500</v>
      </c>
      <c r="I126" s="15">
        <f>SUMIF($Q$14:$Q$31,C126,$R$14:$R$31)/2</f>
        <v>405</v>
      </c>
      <c r="J126" s="16">
        <f>ROUND(300+TAN(PI()*20/180)*H126+(600*B126-(600+I126)*(600+2*TAN(PI()*20/180)*H126))/600,3)</f>
        <v>47017.334999999999</v>
      </c>
      <c r="K126" s="16">
        <f>ROUND(B126+300+TAN(PI()*20/180)*H126+I126*(2*TAN(PI()*20/180)*H126+600)/600,3)</f>
        <v>49282.665000000001</v>
      </c>
      <c r="L126" s="3" t="str">
        <f ca="1">IF(B127&lt;&gt;"","["&amp;B126&amp;","""&amp;C126&amp;""","&amp;D126&amp;","&amp;E126&amp;","&amp;F126&amp;","&amp;G126&amp;","&amp;H126&amp;","&amp;J126&amp;","&amp;K126&amp;"]","["&amp;B126&amp;","""&amp;C126&amp;""","&amp;D126&amp;","&amp;E126&amp;","&amp;F126&amp;","&amp;G126&amp;","&amp;H126&amp;","&amp;J126&amp;","&amp;K126&amp;"]")</f>
        <v>[48150,"belt_2",3,469,0.5,0.5,500,47017.335,49282.665]</v>
      </c>
      <c r="N126"/>
    </row>
    <row r="127" spans="1:14" x14ac:dyDescent="0.25">
      <c r="A127" s="3">
        <v>126</v>
      </c>
      <c r="B127" s="13">
        <v>48500</v>
      </c>
      <c r="C127" s="14" t="s">
        <v>51</v>
      </c>
      <c r="D127" s="13">
        <v>3</v>
      </c>
      <c r="E127" s="13">
        <f ca="1">RANDBETWEEN(0,800)</f>
        <v>401</v>
      </c>
      <c r="F127" s="15">
        <f>SUMIF($Q$6:$Q$10,D127,$R$6:$R$10)</f>
        <v>0.5</v>
      </c>
      <c r="G127" s="15">
        <f>SUMIF($Q$6:$Q$10,D127,$T$6:$T$10)</f>
        <v>0.5</v>
      </c>
      <c r="H127" s="15">
        <f>SUMIF($Q$6:$Q$10,D127,$S$6:$S$10)</f>
        <v>500</v>
      </c>
      <c r="I127" s="15">
        <f>SUMIF($Q$14:$Q$31,C127,$R$14:$R$31)/2</f>
        <v>284</v>
      </c>
      <c r="J127" s="16">
        <f>ROUND(300+TAN(PI()*20/180)*H127+(600*B127-(600+I127)*(600+2*TAN(PI()*20/180)*H127))/600,3)</f>
        <v>47561.735999999997</v>
      </c>
      <c r="K127" s="16">
        <f>ROUND(B127+300+TAN(PI()*20/180)*H127+I127*(2*TAN(PI()*20/180)*H127+600)/600,3)</f>
        <v>49438.264000000003</v>
      </c>
      <c r="L127" s="3" t="str">
        <f ca="1">IF(B128&lt;&gt;"","["&amp;B127&amp;","""&amp;C127&amp;""","&amp;D127&amp;","&amp;E127&amp;","&amp;F127&amp;","&amp;G127&amp;","&amp;H127&amp;","&amp;J127&amp;","&amp;K127&amp;"]","["&amp;B127&amp;","""&amp;C127&amp;""","&amp;D127&amp;","&amp;E127&amp;","&amp;F127&amp;","&amp;G127&amp;","&amp;H127&amp;","&amp;J127&amp;","&amp;K127&amp;"]")</f>
        <v>[48500,"belt_1",3,401,0.5,0.5,500,47561.736,49438.264]</v>
      </c>
      <c r="N127"/>
    </row>
    <row r="128" spans="1:14" x14ac:dyDescent="0.25">
      <c r="A128" s="3">
        <v>127</v>
      </c>
      <c r="B128" s="13">
        <v>48850</v>
      </c>
      <c r="C128" s="14" t="s">
        <v>50</v>
      </c>
      <c r="D128" s="13">
        <v>3</v>
      </c>
      <c r="E128" s="13">
        <f ca="1">RANDBETWEEN(0,800)</f>
        <v>269</v>
      </c>
      <c r="F128" s="15">
        <f>SUMIF($Q$6:$Q$10,D128,$R$6:$R$10)</f>
        <v>0.5</v>
      </c>
      <c r="G128" s="15">
        <f>SUMIF($Q$6:$Q$10,D128,$T$6:$T$10)</f>
        <v>0.5</v>
      </c>
      <c r="H128" s="15">
        <f>SUMIF($Q$6:$Q$10,D128,$S$6:$S$10)</f>
        <v>500</v>
      </c>
      <c r="I128" s="15">
        <f>SUMIF($Q$14:$Q$31,C128,$R$14:$R$31)/2</f>
        <v>405</v>
      </c>
      <c r="J128" s="16">
        <f>ROUND(300+TAN(PI()*20/180)*H128+(600*B128-(600+I128)*(600+2*TAN(PI()*20/180)*H128))/600,3)</f>
        <v>47717.334999999999</v>
      </c>
      <c r="K128" s="16">
        <f>ROUND(B128+300+TAN(PI()*20/180)*H128+I128*(2*TAN(PI()*20/180)*H128+600)/600,3)</f>
        <v>49982.665000000001</v>
      </c>
      <c r="L128" s="3" t="str">
        <f ca="1">IF(B129&lt;&gt;"","["&amp;B128&amp;","""&amp;C128&amp;""","&amp;D128&amp;","&amp;E128&amp;","&amp;F128&amp;","&amp;G128&amp;","&amp;H128&amp;","&amp;J128&amp;","&amp;K128&amp;"]","["&amp;B128&amp;","""&amp;C128&amp;""","&amp;D128&amp;","&amp;E128&amp;","&amp;F128&amp;","&amp;G128&amp;","&amp;H128&amp;","&amp;J128&amp;","&amp;K128&amp;"]")</f>
        <v>[48850,"belt_0",3,269,0.5,0.5,500,47717.335,49982.665]</v>
      </c>
      <c r="N128"/>
    </row>
    <row r="129" spans="1:12" x14ac:dyDescent="0.25">
      <c r="A129" s="3">
        <v>128</v>
      </c>
      <c r="B129" s="13">
        <v>49200</v>
      </c>
      <c r="C129" s="14" t="s">
        <v>50</v>
      </c>
      <c r="D129" s="13">
        <v>3</v>
      </c>
      <c r="E129" s="13">
        <f ca="1">RANDBETWEEN(0,800)</f>
        <v>695</v>
      </c>
      <c r="F129" s="15">
        <f>SUMIF($Q$6:$Q$10,D129,$R$6:$R$10)</f>
        <v>0.5</v>
      </c>
      <c r="G129" s="15">
        <f>SUMIF($Q$6:$Q$10,D129,$T$6:$T$10)</f>
        <v>0.5</v>
      </c>
      <c r="H129" s="15">
        <f>SUMIF($Q$6:$Q$10,D129,$S$6:$S$10)</f>
        <v>500</v>
      </c>
      <c r="I129" s="15">
        <f>SUMIF($Q$14:$Q$31,C129,$R$14:$R$31)/2</f>
        <v>405</v>
      </c>
      <c r="J129" s="16">
        <f>ROUND(300+TAN(PI()*20/180)*H129+(600*B129-(600+I129)*(600+2*TAN(PI()*20/180)*H129))/600,3)</f>
        <v>48067.334999999999</v>
      </c>
      <c r="K129" s="16">
        <f>ROUND(B129+300+TAN(PI()*20/180)*H129+I129*(2*TAN(PI()*20/180)*H129+600)/600,3)</f>
        <v>50332.665000000001</v>
      </c>
      <c r="L129" s="3" t="str">
        <f ca="1">IF(B130&lt;&gt;"","["&amp;B129&amp;","""&amp;C129&amp;""","&amp;D129&amp;","&amp;E129&amp;","&amp;F129&amp;","&amp;G129&amp;","&amp;H129&amp;","&amp;J129&amp;","&amp;K129&amp;"]","["&amp;B129&amp;","""&amp;C129&amp;""","&amp;D129&amp;","&amp;E129&amp;","&amp;F129&amp;","&amp;G129&amp;","&amp;H129&amp;","&amp;J129&amp;","&amp;K129&amp;"]")</f>
        <v>[49200,"belt_0",3,695,0.5,0.5,500,48067.335,50332.665]</v>
      </c>
    </row>
    <row r="130" spans="1:12" x14ac:dyDescent="0.25">
      <c r="A130" s="3">
        <v>121</v>
      </c>
      <c r="B130" s="13">
        <v>50000</v>
      </c>
      <c r="C130" s="14" t="s">
        <v>19</v>
      </c>
      <c r="D130" s="13">
        <v>1</v>
      </c>
      <c r="E130" s="13">
        <v>400</v>
      </c>
      <c r="F130" s="15">
        <v>0.3</v>
      </c>
      <c r="G130" s="15">
        <f>SUMIF($Q$6:$Q$10,D130,$T$6:$T$10)</f>
        <v>1</v>
      </c>
      <c r="H130" s="15">
        <f>SUMIF($Q$6:$Q$10,D130,$S$6:$S$10)</f>
        <v>5000</v>
      </c>
      <c r="I130" s="15">
        <f>SUMIF($Q$14:$Q$31,C130,$R$14:$R$31)/2</f>
        <v>250</v>
      </c>
      <c r="J130" s="16">
        <f>ROUND(300+TAN(PI()*20/180)*H130+(600*B130-(600+I130)*(600+2*TAN(PI()*20/180)*H130))/600,3)</f>
        <v>46113.606</v>
      </c>
      <c r="K130" s="16">
        <f>ROUND(B130+300+TAN(PI()*20/180)*H130+I130*(2*TAN(PI()*20/180)*H130+600)/600,3)</f>
        <v>53886.394</v>
      </c>
      <c r="L130" s="3" t="str">
        <f>IF(B131&lt;&gt;"","["&amp;B130&amp;","""&amp;C130&amp;""","&amp;D130&amp;","&amp;E130&amp;","&amp;F130&amp;","&amp;G130&amp;","&amp;H130&amp;","&amp;J130&amp;","&amp;K130&amp;"]","["&amp;B130&amp;","""&amp;C130&amp;""","&amp;D130&amp;","&amp;E130&amp;","&amp;F130&amp;","&amp;G130&amp;","&amp;H130&amp;","&amp;J130&amp;","&amp;K130&amp;"]")</f>
        <v>[50000,"big_planet",1,400,0.3,1,5000,46113.606,53886.394]</v>
      </c>
    </row>
    <row r="131" spans="1:12" x14ac:dyDescent="0.25">
      <c r="A131" s="3">
        <v>129</v>
      </c>
      <c r="B131" s="13">
        <v>999999</v>
      </c>
      <c r="C131" s="13" t="s">
        <v>14</v>
      </c>
      <c r="D131" s="13">
        <v>1</v>
      </c>
      <c r="E131" s="13">
        <v>333</v>
      </c>
      <c r="F131" s="15">
        <f>SUMIF($Q$6:$Q$10,D131,$R$6:$R$10)</f>
        <v>1</v>
      </c>
      <c r="G131" s="15">
        <f>SUMIF($Q$6:$Q$10,D131,$T$6:$T$10)</f>
        <v>1</v>
      </c>
      <c r="H131" s="15">
        <f>SUMIF($Q$6:$Q$10,D131,$S$6:$S$10)</f>
        <v>5000</v>
      </c>
      <c r="I131" s="15">
        <f>SUMIF($Q$14:$Q$31,C131,$R$14:$R$31)/2</f>
        <v>50</v>
      </c>
      <c r="J131" s="16">
        <f>ROUND(300+TAN(PI()*20/180)*H131+(600*B131-(600+I131)*(600+2*TAN(PI()*20/180)*H131))/600,3)</f>
        <v>997525.84</v>
      </c>
      <c r="K131" s="16">
        <f>ROUND(B131+300+TAN(PI()*20/180)*H131+I131*(2*TAN(PI()*20/180)*H131+600)/600,3)</f>
        <v>1002472.16</v>
      </c>
      <c r="L131" s="3" t="str">
        <f>IF(B132&lt;&gt;"","["&amp;B131&amp;","""&amp;C131&amp;""","&amp;D131&amp;","&amp;E131&amp;","&amp;F131&amp;","&amp;G131&amp;","&amp;H131&amp;","&amp;J131&amp;","&amp;K131&amp;"]","["&amp;B131&amp;","""&amp;C131&amp;""","&amp;D131&amp;","&amp;E131&amp;","&amp;F131&amp;","&amp;G131&amp;","&amp;H131&amp;","&amp;J131&amp;","&amp;K131&amp;"]")</f>
        <v>[999999,"ground",1,333,1,1,5000,997525.84,1002472.16]</v>
      </c>
    </row>
    <row r="132" spans="1:12" x14ac:dyDescent="0.25">
      <c r="C132" s="14"/>
      <c r="F132" s="15"/>
      <c r="G132" s="15"/>
      <c r="H132" s="15"/>
      <c r="I132" s="15"/>
      <c r="J132" s="16"/>
      <c r="K132" s="16"/>
    </row>
    <row r="133" spans="1:12" x14ac:dyDescent="0.25">
      <c r="C133" s="14"/>
      <c r="F133" s="15"/>
      <c r="G133" s="15"/>
      <c r="H133" s="15"/>
      <c r="I133" s="15"/>
      <c r="J133" s="16"/>
      <c r="K133" s="16"/>
    </row>
    <row r="134" spans="1:12" x14ac:dyDescent="0.25">
      <c r="C134" s="14"/>
      <c r="F134" s="15"/>
      <c r="G134" s="15"/>
      <c r="H134" s="15"/>
      <c r="I134" s="15"/>
      <c r="J134" s="16"/>
      <c r="K134" s="16"/>
    </row>
    <row r="135" spans="1:12" x14ac:dyDescent="0.25">
      <c r="C135" s="14"/>
      <c r="F135" s="15"/>
      <c r="G135" s="15"/>
      <c r="H135" s="15"/>
      <c r="I135" s="15"/>
      <c r="J135" s="16"/>
      <c r="K135" s="16"/>
    </row>
    <row r="136" spans="1:12" x14ac:dyDescent="0.25">
      <c r="C136" s="14"/>
      <c r="F136" s="15"/>
      <c r="G136" s="15"/>
      <c r="H136" s="15"/>
      <c r="I136" s="15"/>
      <c r="J136" s="16"/>
      <c r="K136" s="16"/>
    </row>
    <row r="137" spans="1:12" x14ac:dyDescent="0.25">
      <c r="C137" s="14"/>
      <c r="F137" s="15"/>
      <c r="G137" s="15"/>
      <c r="H137" s="15"/>
      <c r="I137" s="15"/>
      <c r="J137" s="16"/>
      <c r="K137" s="16"/>
    </row>
    <row r="138" spans="1:12" x14ac:dyDescent="0.25">
      <c r="C138" s="14"/>
      <c r="F138" s="15"/>
      <c r="G138" s="15"/>
      <c r="H138" s="15"/>
      <c r="I138" s="15"/>
      <c r="J138" s="16"/>
      <c r="K138" s="16"/>
    </row>
    <row r="139" spans="1:12" x14ac:dyDescent="0.25">
      <c r="C139" s="14"/>
      <c r="F139" s="15"/>
      <c r="G139" s="15"/>
      <c r="H139" s="15"/>
      <c r="I139" s="15"/>
      <c r="J139" s="16"/>
      <c r="K139" s="16"/>
    </row>
    <row r="140" spans="1:12" x14ac:dyDescent="0.25">
      <c r="C140" s="14"/>
      <c r="F140" s="15"/>
      <c r="G140" s="15"/>
      <c r="H140" s="15"/>
      <c r="I140" s="15"/>
      <c r="J140" s="16"/>
      <c r="K140" s="16"/>
    </row>
    <row r="141" spans="1:12" x14ac:dyDescent="0.25">
      <c r="C141" s="14"/>
      <c r="F141" s="15"/>
      <c r="G141" s="15"/>
      <c r="H141" s="15"/>
      <c r="I141" s="15"/>
      <c r="J141" s="16"/>
      <c r="K141" s="16"/>
    </row>
    <row r="142" spans="1:12" x14ac:dyDescent="0.25">
      <c r="C142" s="14"/>
      <c r="F142" s="15"/>
      <c r="G142" s="15"/>
      <c r="H142" s="15"/>
      <c r="I142" s="15"/>
      <c r="J142" s="16"/>
      <c r="K142" s="16"/>
    </row>
    <row r="143" spans="1:12" x14ac:dyDescent="0.25">
      <c r="C143" s="14"/>
      <c r="F143" s="15"/>
      <c r="G143" s="15"/>
      <c r="H143" s="15"/>
      <c r="I143" s="15"/>
      <c r="J143" s="16"/>
      <c r="K143" s="16"/>
    </row>
    <row r="144" spans="1:12" x14ac:dyDescent="0.25">
      <c r="C144" s="14"/>
      <c r="F144" s="15"/>
      <c r="G144" s="15"/>
      <c r="H144" s="15"/>
      <c r="I144" s="15"/>
      <c r="J144" s="16"/>
      <c r="K144" s="16"/>
    </row>
    <row r="145" spans="3:11" x14ac:dyDescent="0.25">
      <c r="C145" s="14"/>
      <c r="F145" s="15"/>
      <c r="G145" s="15"/>
      <c r="H145" s="15"/>
      <c r="I145" s="15"/>
      <c r="J145" s="16"/>
      <c r="K145" s="16"/>
    </row>
    <row r="146" spans="3:11" x14ac:dyDescent="0.25">
      <c r="C146" s="14"/>
      <c r="F146" s="15"/>
      <c r="G146" s="15"/>
      <c r="H146" s="15"/>
      <c r="I146" s="15"/>
      <c r="J146" s="16"/>
      <c r="K146" s="16"/>
    </row>
    <row r="147" spans="3:11" x14ac:dyDescent="0.25">
      <c r="C147" s="14"/>
      <c r="F147" s="15"/>
      <c r="G147" s="15"/>
      <c r="H147" s="15"/>
      <c r="I147" s="15"/>
      <c r="J147" s="16"/>
      <c r="K147" s="16"/>
    </row>
    <row r="148" spans="3:11" x14ac:dyDescent="0.25">
      <c r="C148" s="14"/>
      <c r="F148" s="15"/>
      <c r="G148" s="15"/>
      <c r="H148" s="15"/>
      <c r="I148" s="15"/>
      <c r="J148" s="16"/>
      <c r="K148" s="16"/>
    </row>
    <row r="149" spans="3:11" x14ac:dyDescent="0.25">
      <c r="C149" s="14"/>
      <c r="F149" s="15"/>
      <c r="G149" s="15"/>
      <c r="H149" s="15"/>
      <c r="I149" s="15"/>
      <c r="J149" s="16"/>
      <c r="K149" s="16"/>
    </row>
    <row r="150" spans="3:11" x14ac:dyDescent="0.25">
      <c r="C150" s="14"/>
      <c r="F150" s="15"/>
      <c r="G150" s="15"/>
      <c r="H150" s="15"/>
      <c r="I150" s="15"/>
      <c r="J150" s="16"/>
      <c r="K150" s="16"/>
    </row>
    <row r="151" spans="3:11" x14ac:dyDescent="0.25">
      <c r="C151" s="14"/>
      <c r="F151" s="15"/>
      <c r="G151" s="15"/>
      <c r="H151" s="15"/>
      <c r="I151" s="15"/>
      <c r="J151" s="16"/>
      <c r="K151" s="16"/>
    </row>
    <row r="152" spans="3:11" x14ac:dyDescent="0.25">
      <c r="C152" s="14"/>
      <c r="F152" s="15"/>
      <c r="G152" s="15"/>
      <c r="H152" s="15"/>
      <c r="I152" s="15"/>
      <c r="J152" s="16"/>
      <c r="K152" s="16"/>
    </row>
    <row r="153" spans="3:11" x14ac:dyDescent="0.25">
      <c r="C153" s="14"/>
      <c r="F153" s="15"/>
      <c r="G153" s="15"/>
      <c r="H153" s="15"/>
      <c r="I153" s="15"/>
      <c r="J153" s="16"/>
      <c r="K153" s="16"/>
    </row>
    <row r="154" spans="3:11" x14ac:dyDescent="0.25">
      <c r="C154" s="14"/>
      <c r="F154" s="15"/>
      <c r="G154" s="15"/>
      <c r="H154" s="15"/>
      <c r="I154" s="15"/>
      <c r="J154" s="16"/>
      <c r="K154" s="16"/>
    </row>
    <row r="155" spans="3:11" x14ac:dyDescent="0.25">
      <c r="C155" s="14"/>
      <c r="F155" s="15"/>
      <c r="G155" s="15"/>
      <c r="H155" s="15"/>
      <c r="I155" s="15"/>
      <c r="J155" s="16"/>
      <c r="K155" s="16"/>
    </row>
    <row r="156" spans="3:11" x14ac:dyDescent="0.25">
      <c r="C156" s="14"/>
      <c r="F156" s="15"/>
      <c r="G156" s="15"/>
      <c r="H156" s="15"/>
      <c r="I156" s="15"/>
      <c r="J156" s="16"/>
      <c r="K156" s="16"/>
    </row>
    <row r="157" spans="3:11" x14ac:dyDescent="0.25">
      <c r="C157" s="14"/>
      <c r="F157" s="15"/>
      <c r="G157" s="15"/>
      <c r="H157" s="15"/>
      <c r="I157" s="15"/>
      <c r="J157" s="16"/>
      <c r="K157" s="16"/>
    </row>
    <row r="158" spans="3:11" x14ac:dyDescent="0.25">
      <c r="C158" s="14"/>
      <c r="F158" s="15"/>
      <c r="G158" s="15"/>
      <c r="H158" s="15"/>
      <c r="I158" s="15"/>
      <c r="J158" s="16"/>
      <c r="K158" s="16"/>
    </row>
    <row r="159" spans="3:11" x14ac:dyDescent="0.25">
      <c r="C159" s="14"/>
      <c r="F159" s="15"/>
      <c r="G159" s="15"/>
      <c r="H159" s="15"/>
      <c r="I159" s="15"/>
      <c r="J159" s="16"/>
      <c r="K159" s="16"/>
    </row>
    <row r="160" spans="3:11" x14ac:dyDescent="0.25">
      <c r="C160" s="14"/>
      <c r="F160" s="15"/>
      <c r="G160" s="15"/>
      <c r="H160" s="15"/>
      <c r="I160" s="15"/>
      <c r="J160" s="16"/>
      <c r="K160" s="16"/>
    </row>
    <row r="161" spans="3:11" x14ac:dyDescent="0.25">
      <c r="C161" s="14"/>
      <c r="F161" s="15"/>
      <c r="G161" s="15"/>
      <c r="H161" s="15"/>
      <c r="I161" s="15"/>
      <c r="J161" s="16"/>
      <c r="K161" s="16"/>
    </row>
    <row r="162" spans="3:11" x14ac:dyDescent="0.25">
      <c r="C162" s="14"/>
      <c r="F162" s="15"/>
      <c r="G162" s="15"/>
      <c r="H162" s="15"/>
      <c r="I162" s="15"/>
      <c r="J162" s="16"/>
      <c r="K162" s="16"/>
    </row>
    <row r="163" spans="3:11" x14ac:dyDescent="0.25">
      <c r="C163" s="14"/>
      <c r="F163" s="15"/>
      <c r="G163" s="15"/>
      <c r="H163" s="15"/>
      <c r="I163" s="15"/>
      <c r="J163" s="16"/>
      <c r="K163" s="16"/>
    </row>
    <row r="164" spans="3:11" x14ac:dyDescent="0.25">
      <c r="C164" s="14"/>
      <c r="F164" s="15"/>
      <c r="G164" s="15"/>
      <c r="H164" s="15"/>
      <c r="I164" s="15"/>
      <c r="J164" s="16"/>
      <c r="K164" s="16"/>
    </row>
    <row r="165" spans="3:11" x14ac:dyDescent="0.25">
      <c r="C165" s="14"/>
      <c r="F165" s="15"/>
      <c r="G165" s="15"/>
      <c r="H165" s="15"/>
      <c r="I165" s="15"/>
      <c r="J165" s="16"/>
      <c r="K165" s="16"/>
    </row>
    <row r="166" spans="3:11" x14ac:dyDescent="0.25">
      <c r="C166" s="14"/>
      <c r="F166" s="15"/>
      <c r="G166" s="15"/>
      <c r="H166" s="15"/>
      <c r="I166" s="15"/>
      <c r="J166" s="16"/>
      <c r="K166" s="16"/>
    </row>
    <row r="167" spans="3:11" x14ac:dyDescent="0.25">
      <c r="C167" s="14"/>
      <c r="F167" s="15"/>
      <c r="G167" s="15"/>
      <c r="H167" s="15"/>
      <c r="I167" s="15"/>
      <c r="J167" s="16"/>
      <c r="K167" s="16"/>
    </row>
    <row r="168" spans="3:11" x14ac:dyDescent="0.25">
      <c r="C168" s="14"/>
      <c r="F168" s="15"/>
      <c r="G168" s="15"/>
      <c r="H168" s="15"/>
      <c r="I168" s="15"/>
      <c r="J168" s="16"/>
      <c r="K168" s="16"/>
    </row>
    <row r="169" spans="3:11" x14ac:dyDescent="0.25">
      <c r="C169" s="14"/>
      <c r="F169" s="15"/>
      <c r="G169" s="15"/>
      <c r="H169" s="15"/>
      <c r="I169" s="15"/>
      <c r="J169" s="16"/>
      <c r="K169" s="16"/>
    </row>
    <row r="170" spans="3:11" x14ac:dyDescent="0.25">
      <c r="C170" s="14"/>
      <c r="F170" s="15"/>
      <c r="G170" s="15"/>
      <c r="H170" s="15"/>
      <c r="I170" s="15"/>
      <c r="J170" s="16"/>
      <c r="K170" s="16"/>
    </row>
    <row r="171" spans="3:11" x14ac:dyDescent="0.25">
      <c r="C171" s="14"/>
      <c r="F171" s="15"/>
      <c r="G171" s="15"/>
      <c r="H171" s="15"/>
      <c r="I171" s="15"/>
      <c r="J171" s="16"/>
      <c r="K171" s="16"/>
    </row>
    <row r="172" spans="3:11" x14ac:dyDescent="0.25">
      <c r="C172" s="14"/>
      <c r="F172" s="15"/>
      <c r="G172" s="15"/>
      <c r="H172" s="15"/>
      <c r="I172" s="15"/>
      <c r="J172" s="16"/>
      <c r="K172" s="16"/>
    </row>
    <row r="173" spans="3:11" x14ac:dyDescent="0.25">
      <c r="C173" s="14"/>
      <c r="F173" s="15"/>
      <c r="G173" s="15"/>
      <c r="H173" s="15"/>
      <c r="I173" s="15"/>
      <c r="J173" s="16"/>
      <c r="K173" s="16"/>
    </row>
    <row r="174" spans="3:11" x14ac:dyDescent="0.25">
      <c r="C174" s="14"/>
      <c r="F174" s="15"/>
      <c r="G174" s="15"/>
      <c r="H174" s="15"/>
      <c r="I174" s="15"/>
      <c r="J174" s="16"/>
      <c r="K174" s="16"/>
    </row>
    <row r="175" spans="3:11" x14ac:dyDescent="0.25">
      <c r="C175" s="14"/>
      <c r="F175" s="15"/>
      <c r="G175" s="15"/>
      <c r="H175" s="15"/>
      <c r="I175" s="15"/>
      <c r="J175" s="16"/>
      <c r="K175" s="16"/>
    </row>
    <row r="176" spans="3:11" x14ac:dyDescent="0.25">
      <c r="C176" s="14"/>
      <c r="F176" s="15"/>
      <c r="G176" s="15"/>
      <c r="H176" s="15"/>
      <c r="I176" s="15"/>
      <c r="J176" s="16"/>
      <c r="K176" s="16"/>
    </row>
    <row r="177" spans="3:11" x14ac:dyDescent="0.25">
      <c r="C177" s="14"/>
      <c r="F177" s="15"/>
      <c r="G177" s="15"/>
      <c r="H177" s="15"/>
      <c r="I177" s="15"/>
      <c r="J177" s="16"/>
      <c r="K177" s="16"/>
    </row>
    <row r="178" spans="3:11" x14ac:dyDescent="0.25">
      <c r="C178" s="14"/>
      <c r="F178" s="15"/>
      <c r="G178" s="15"/>
      <c r="H178" s="15"/>
      <c r="I178" s="15"/>
      <c r="J178" s="16"/>
      <c r="K178" s="16"/>
    </row>
    <row r="179" spans="3:11" x14ac:dyDescent="0.25">
      <c r="C179" s="14"/>
      <c r="F179" s="15"/>
      <c r="G179" s="15"/>
      <c r="H179" s="15"/>
      <c r="I179" s="15"/>
      <c r="J179" s="16"/>
      <c r="K179" s="16"/>
    </row>
    <row r="180" spans="3:11" x14ac:dyDescent="0.25">
      <c r="C180" s="14"/>
      <c r="F180" s="15"/>
      <c r="G180" s="15"/>
      <c r="H180" s="15"/>
      <c r="I180" s="15"/>
      <c r="J180" s="16"/>
      <c r="K180" s="16"/>
    </row>
    <row r="181" spans="3:11" x14ac:dyDescent="0.25">
      <c r="C181" s="14"/>
      <c r="F181" s="15"/>
      <c r="G181" s="15"/>
      <c r="H181" s="15"/>
      <c r="I181" s="15"/>
      <c r="J181" s="16"/>
      <c r="K181" s="16"/>
    </row>
    <row r="182" spans="3:11" x14ac:dyDescent="0.25">
      <c r="C182" s="14"/>
      <c r="F182" s="15"/>
      <c r="G182" s="15"/>
      <c r="H182" s="15"/>
      <c r="I182" s="15"/>
      <c r="J182" s="16"/>
      <c r="K182" s="16"/>
    </row>
    <row r="183" spans="3:11" x14ac:dyDescent="0.25">
      <c r="C183" s="14"/>
      <c r="F183" s="15"/>
      <c r="G183" s="15"/>
      <c r="H183" s="15"/>
      <c r="I183" s="15"/>
      <c r="J183" s="16"/>
      <c r="K183" s="16"/>
    </row>
    <row r="184" spans="3:11" x14ac:dyDescent="0.25">
      <c r="C184" s="14"/>
      <c r="F184" s="15"/>
      <c r="G184" s="15"/>
      <c r="H184" s="15"/>
      <c r="I184" s="15"/>
      <c r="J184" s="16"/>
      <c r="K184" s="16"/>
    </row>
    <row r="185" spans="3:11" x14ac:dyDescent="0.25">
      <c r="C185" s="14"/>
      <c r="F185" s="15"/>
      <c r="G185" s="15"/>
      <c r="H185" s="15"/>
      <c r="I185" s="15"/>
      <c r="J185" s="16"/>
      <c r="K185" s="16"/>
    </row>
    <row r="186" spans="3:11" x14ac:dyDescent="0.25">
      <c r="C186" s="14"/>
      <c r="F186" s="15"/>
      <c r="G186" s="15"/>
      <c r="H186" s="15"/>
      <c r="I186" s="15"/>
      <c r="J186" s="16"/>
      <c r="K186" s="16"/>
    </row>
    <row r="187" spans="3:11" x14ac:dyDescent="0.25">
      <c r="C187" s="14"/>
      <c r="F187" s="15"/>
      <c r="G187" s="15"/>
      <c r="H187" s="15"/>
      <c r="I187" s="15"/>
      <c r="J187" s="16"/>
      <c r="K187" s="16"/>
    </row>
    <row r="188" spans="3:11" x14ac:dyDescent="0.25">
      <c r="C188" s="14"/>
      <c r="F188" s="15"/>
      <c r="G188" s="15"/>
      <c r="H188" s="15"/>
      <c r="I188" s="15"/>
      <c r="J188" s="16"/>
      <c r="K188" s="16"/>
    </row>
    <row r="189" spans="3:11" x14ac:dyDescent="0.25">
      <c r="C189" s="14"/>
      <c r="F189" s="15"/>
      <c r="G189" s="15"/>
      <c r="H189" s="15"/>
      <c r="I189" s="15"/>
      <c r="J189" s="16"/>
      <c r="K189" s="16"/>
    </row>
    <row r="190" spans="3:11" x14ac:dyDescent="0.25">
      <c r="C190" s="14"/>
      <c r="F190" s="15"/>
      <c r="G190" s="15"/>
      <c r="H190" s="15"/>
      <c r="I190" s="15"/>
      <c r="J190" s="16"/>
      <c r="K190" s="16"/>
    </row>
    <row r="191" spans="3:11" x14ac:dyDescent="0.25">
      <c r="C191" s="14"/>
      <c r="F191" s="15"/>
      <c r="G191" s="15"/>
      <c r="H191" s="15"/>
      <c r="I191" s="15"/>
      <c r="J191" s="16"/>
      <c r="K191" s="16"/>
    </row>
    <row r="192" spans="3:11" x14ac:dyDescent="0.25">
      <c r="C192" s="14"/>
      <c r="F192" s="15"/>
      <c r="G192" s="15"/>
      <c r="H192" s="15"/>
      <c r="I192" s="15"/>
      <c r="J192" s="16"/>
      <c r="K192" s="16"/>
    </row>
    <row r="193" spans="3:11" x14ac:dyDescent="0.25">
      <c r="C193" s="14"/>
      <c r="F193" s="15"/>
      <c r="G193" s="15"/>
      <c r="H193" s="15"/>
      <c r="I193" s="15"/>
      <c r="J193" s="16"/>
      <c r="K193" s="16"/>
    </row>
    <row r="194" spans="3:11" x14ac:dyDescent="0.25">
      <c r="C194" s="14"/>
      <c r="F194" s="15"/>
      <c r="G194" s="15"/>
      <c r="H194" s="15"/>
      <c r="I194" s="15"/>
      <c r="J194" s="16"/>
      <c r="K194" s="16"/>
    </row>
    <row r="195" spans="3:11" x14ac:dyDescent="0.25">
      <c r="C195" s="14"/>
      <c r="F195" s="15"/>
      <c r="G195" s="15"/>
      <c r="H195" s="15"/>
      <c r="I195" s="15"/>
      <c r="J195" s="16"/>
      <c r="K195" s="16"/>
    </row>
    <row r="196" spans="3:11" x14ac:dyDescent="0.25">
      <c r="C196" s="14"/>
      <c r="F196" s="15"/>
      <c r="G196" s="15"/>
      <c r="H196" s="15"/>
      <c r="I196" s="15"/>
      <c r="J196" s="16"/>
      <c r="K196" s="16"/>
    </row>
    <row r="197" spans="3:11" x14ac:dyDescent="0.25">
      <c r="C197" s="14"/>
      <c r="F197" s="15"/>
      <c r="G197" s="15"/>
      <c r="H197" s="15"/>
      <c r="I197" s="15"/>
      <c r="J197" s="16"/>
      <c r="K197" s="16"/>
    </row>
    <row r="198" spans="3:11" x14ac:dyDescent="0.25">
      <c r="C198" s="14"/>
      <c r="F198" s="15"/>
      <c r="G198" s="15"/>
      <c r="H198" s="15"/>
      <c r="I198" s="15"/>
      <c r="J198" s="16"/>
      <c r="K198" s="16"/>
    </row>
    <row r="199" spans="3:11" x14ac:dyDescent="0.25">
      <c r="C199" s="14"/>
      <c r="F199" s="15"/>
      <c r="G199" s="15"/>
      <c r="H199" s="15"/>
      <c r="I199" s="15"/>
      <c r="J199" s="16"/>
      <c r="K199" s="16"/>
    </row>
    <row r="200" spans="3:11" x14ac:dyDescent="0.25">
      <c r="C200" s="14"/>
      <c r="F200" s="15"/>
      <c r="G200" s="15"/>
      <c r="H200" s="15"/>
      <c r="I200" s="15"/>
      <c r="J200" s="16"/>
      <c r="K200" s="16"/>
    </row>
    <row r="201" spans="3:11" x14ac:dyDescent="0.25">
      <c r="C201" s="14"/>
      <c r="F201" s="15"/>
      <c r="G201" s="15"/>
      <c r="H201" s="15"/>
      <c r="I201" s="15"/>
      <c r="J201" s="16"/>
      <c r="K201" s="16"/>
    </row>
    <row r="202" spans="3:11" x14ac:dyDescent="0.25">
      <c r="C202" s="14"/>
      <c r="F202" s="15"/>
      <c r="G202" s="15"/>
      <c r="H202" s="15"/>
      <c r="I202" s="15"/>
      <c r="J202" s="16"/>
      <c r="K202" s="16"/>
    </row>
    <row r="203" spans="3:11" x14ac:dyDescent="0.25">
      <c r="C203" s="14"/>
      <c r="F203" s="15"/>
      <c r="G203" s="15"/>
      <c r="H203" s="15"/>
      <c r="I203" s="15"/>
      <c r="J203" s="16"/>
      <c r="K203" s="16"/>
    </row>
    <row r="204" spans="3:11" x14ac:dyDescent="0.25">
      <c r="C204" s="14"/>
      <c r="F204" s="15"/>
      <c r="G204" s="15"/>
      <c r="H204" s="15"/>
      <c r="I204" s="15"/>
      <c r="J204" s="16"/>
      <c r="K204" s="16"/>
    </row>
    <row r="205" spans="3:11" x14ac:dyDescent="0.25">
      <c r="C205" s="14"/>
      <c r="F205" s="15"/>
      <c r="G205" s="15"/>
      <c r="H205" s="15"/>
      <c r="I205" s="15"/>
      <c r="J205" s="16"/>
      <c r="K205" s="16"/>
    </row>
    <row r="206" spans="3:11" x14ac:dyDescent="0.25">
      <c r="C206" s="14"/>
      <c r="F206" s="15"/>
      <c r="G206" s="15"/>
      <c r="H206" s="15"/>
      <c r="I206" s="15"/>
      <c r="J206" s="16"/>
      <c r="K206" s="16"/>
    </row>
    <row r="207" spans="3:11" x14ac:dyDescent="0.25">
      <c r="C207" s="14"/>
      <c r="F207" s="15"/>
      <c r="G207" s="15"/>
      <c r="H207" s="15"/>
      <c r="I207" s="15"/>
      <c r="J207" s="16"/>
      <c r="K207" s="16"/>
    </row>
    <row r="208" spans="3:11" x14ac:dyDescent="0.25">
      <c r="C208" s="14"/>
      <c r="F208" s="15"/>
      <c r="G208" s="15"/>
      <c r="H208" s="15"/>
      <c r="I208" s="15"/>
      <c r="J208" s="16"/>
      <c r="K208" s="16"/>
    </row>
    <row r="209" spans="3:11" x14ac:dyDescent="0.25">
      <c r="C209" s="14"/>
      <c r="F209" s="15"/>
      <c r="G209" s="15"/>
      <c r="H209" s="15"/>
      <c r="I209" s="15"/>
      <c r="J209" s="16"/>
      <c r="K209" s="16"/>
    </row>
    <row r="210" spans="3:11" x14ac:dyDescent="0.25">
      <c r="C210" s="14"/>
      <c r="F210" s="15"/>
      <c r="G210" s="15"/>
      <c r="H210" s="15"/>
      <c r="I210" s="15"/>
      <c r="J210" s="16"/>
      <c r="K210" s="16"/>
    </row>
    <row r="211" spans="3:11" x14ac:dyDescent="0.25">
      <c r="C211" s="14"/>
      <c r="F211" s="15"/>
      <c r="G211" s="15"/>
      <c r="H211" s="15"/>
      <c r="I211" s="15"/>
      <c r="J211" s="16"/>
      <c r="K211" s="16"/>
    </row>
    <row r="212" spans="3:11" x14ac:dyDescent="0.25">
      <c r="C212" s="14"/>
      <c r="F212" s="15"/>
      <c r="G212" s="15"/>
      <c r="H212" s="15"/>
      <c r="I212" s="15"/>
      <c r="J212" s="16"/>
      <c r="K212" s="16"/>
    </row>
    <row r="213" spans="3:11" x14ac:dyDescent="0.25">
      <c r="C213" s="14"/>
      <c r="F213" s="15"/>
      <c r="G213" s="15"/>
      <c r="H213" s="15"/>
      <c r="I213" s="15"/>
      <c r="J213" s="16"/>
      <c r="K213" s="16"/>
    </row>
    <row r="214" spans="3:11" x14ac:dyDescent="0.25">
      <c r="C214" s="14"/>
      <c r="F214" s="15"/>
      <c r="G214" s="15"/>
      <c r="H214" s="15"/>
      <c r="I214" s="15"/>
      <c r="J214" s="16"/>
      <c r="K214" s="16"/>
    </row>
    <row r="215" spans="3:11" x14ac:dyDescent="0.25">
      <c r="C215" s="14"/>
      <c r="F215" s="15"/>
      <c r="G215" s="15"/>
      <c r="H215" s="15"/>
      <c r="I215" s="15"/>
      <c r="J215" s="16"/>
      <c r="K215" s="16"/>
    </row>
    <row r="216" spans="3:11" x14ac:dyDescent="0.25">
      <c r="C216" s="14"/>
      <c r="F216" s="15"/>
      <c r="G216" s="15"/>
      <c r="H216" s="15"/>
      <c r="I216" s="15"/>
      <c r="J216" s="16"/>
      <c r="K216" s="16"/>
    </row>
    <row r="217" spans="3:11" x14ac:dyDescent="0.25">
      <c r="C217" s="14"/>
      <c r="F217" s="15"/>
      <c r="G217" s="15"/>
      <c r="H217" s="15"/>
      <c r="I217" s="15"/>
      <c r="J217" s="16"/>
      <c r="K217" s="16"/>
    </row>
    <row r="218" spans="3:11" x14ac:dyDescent="0.25">
      <c r="C218" s="14"/>
      <c r="F218" s="15"/>
      <c r="G218" s="15"/>
      <c r="H218" s="15"/>
      <c r="I218" s="15"/>
      <c r="J218" s="16"/>
      <c r="K218" s="16"/>
    </row>
    <row r="219" spans="3:11" x14ac:dyDescent="0.25">
      <c r="C219" s="14"/>
      <c r="F219" s="15"/>
      <c r="G219" s="15"/>
      <c r="H219" s="15"/>
      <c r="I219" s="15"/>
      <c r="J219" s="16"/>
      <c r="K219" s="16"/>
    </row>
    <row r="220" spans="3:11" x14ac:dyDescent="0.25">
      <c r="C220" s="14"/>
      <c r="F220" s="15"/>
      <c r="G220" s="15"/>
      <c r="H220" s="15"/>
      <c r="I220" s="15"/>
      <c r="J220" s="16"/>
      <c r="K220" s="16"/>
    </row>
    <row r="221" spans="3:11" x14ac:dyDescent="0.25">
      <c r="C221" s="14"/>
      <c r="F221" s="15"/>
      <c r="G221" s="15"/>
      <c r="H221" s="15"/>
      <c r="I221" s="15"/>
      <c r="J221" s="16"/>
      <c r="K221" s="16"/>
    </row>
    <row r="222" spans="3:11" x14ac:dyDescent="0.25">
      <c r="C222" s="14"/>
      <c r="F222" s="15"/>
      <c r="G222" s="15"/>
      <c r="H222" s="15"/>
      <c r="I222" s="15"/>
      <c r="J222" s="16"/>
      <c r="K222" s="16"/>
    </row>
    <row r="223" spans="3:11" x14ac:dyDescent="0.25">
      <c r="C223" s="14"/>
      <c r="F223" s="15"/>
      <c r="G223" s="15"/>
      <c r="H223" s="15"/>
      <c r="I223" s="15"/>
      <c r="J223" s="16"/>
      <c r="K223" s="16"/>
    </row>
    <row r="224" spans="3:11" x14ac:dyDescent="0.25">
      <c r="C224" s="14"/>
      <c r="F224" s="15"/>
      <c r="G224" s="15"/>
      <c r="H224" s="15"/>
      <c r="I224" s="15"/>
      <c r="J224" s="16"/>
      <c r="K224" s="16"/>
    </row>
    <row r="225" spans="3:11" x14ac:dyDescent="0.25">
      <c r="C225" s="14"/>
      <c r="F225" s="15"/>
      <c r="G225" s="15"/>
      <c r="H225" s="15"/>
      <c r="I225" s="15"/>
      <c r="J225" s="16"/>
      <c r="K225" s="16"/>
    </row>
    <row r="226" spans="3:11" x14ac:dyDescent="0.25">
      <c r="C226" s="14"/>
      <c r="F226" s="15"/>
      <c r="G226" s="15"/>
      <c r="H226" s="15"/>
      <c r="I226" s="15"/>
      <c r="J226" s="16"/>
      <c r="K226" s="16"/>
    </row>
    <row r="227" spans="3:11" x14ac:dyDescent="0.25">
      <c r="C227" s="14"/>
      <c r="F227" s="15"/>
      <c r="G227" s="15"/>
      <c r="H227" s="15"/>
      <c r="I227" s="15"/>
      <c r="J227" s="16"/>
      <c r="K227" s="16"/>
    </row>
    <row r="228" spans="3:11" x14ac:dyDescent="0.25">
      <c r="C228" s="14"/>
      <c r="F228" s="15"/>
      <c r="G228" s="15"/>
      <c r="H228" s="15"/>
      <c r="I228" s="15"/>
      <c r="J228" s="16"/>
      <c r="K228" s="16"/>
    </row>
    <row r="229" spans="3:11" x14ac:dyDescent="0.25">
      <c r="C229" s="14"/>
      <c r="F229" s="15"/>
      <c r="G229" s="15"/>
      <c r="H229" s="15"/>
      <c r="I229" s="15"/>
      <c r="J229" s="16"/>
      <c r="K229" s="16"/>
    </row>
    <row r="230" spans="3:11" x14ac:dyDescent="0.25">
      <c r="C230" s="14"/>
      <c r="F230" s="15"/>
      <c r="G230" s="15"/>
      <c r="H230" s="15"/>
      <c r="I230" s="15"/>
      <c r="J230" s="16"/>
      <c r="K230" s="16"/>
    </row>
    <row r="231" spans="3:11" x14ac:dyDescent="0.25">
      <c r="C231" s="14"/>
      <c r="F231" s="15"/>
      <c r="G231" s="15"/>
      <c r="H231" s="15"/>
      <c r="I231" s="15"/>
      <c r="J231" s="16"/>
      <c r="K231" s="16"/>
    </row>
    <row r="232" spans="3:11" x14ac:dyDescent="0.25">
      <c r="C232" s="14"/>
      <c r="F232" s="15"/>
      <c r="G232" s="15"/>
      <c r="H232" s="15"/>
      <c r="I232" s="15"/>
      <c r="J232" s="16"/>
      <c r="K232" s="16"/>
    </row>
    <row r="233" spans="3:11" x14ac:dyDescent="0.25">
      <c r="C233" s="14"/>
      <c r="F233" s="15"/>
      <c r="G233" s="15"/>
      <c r="H233" s="15"/>
      <c r="I233" s="15"/>
      <c r="J233" s="16"/>
      <c r="K233" s="16"/>
    </row>
    <row r="234" spans="3:11" x14ac:dyDescent="0.25">
      <c r="C234" s="14"/>
      <c r="F234" s="15"/>
      <c r="G234" s="15"/>
      <c r="H234" s="15"/>
      <c r="I234" s="15"/>
      <c r="J234" s="16"/>
      <c r="K234" s="16"/>
    </row>
    <row r="235" spans="3:11" x14ac:dyDescent="0.25">
      <c r="C235" s="14"/>
      <c r="F235" s="15"/>
      <c r="G235" s="15"/>
      <c r="H235" s="15"/>
      <c r="I235" s="15"/>
      <c r="J235" s="16"/>
      <c r="K235" s="16"/>
    </row>
    <row r="236" spans="3:11" x14ac:dyDescent="0.25">
      <c r="C236" s="14"/>
      <c r="F236" s="15"/>
      <c r="G236" s="15"/>
      <c r="H236" s="15"/>
      <c r="I236" s="15"/>
      <c r="J236" s="16"/>
      <c r="K236" s="16"/>
    </row>
    <row r="237" spans="3:11" x14ac:dyDescent="0.25">
      <c r="C237" s="14"/>
      <c r="F237" s="15"/>
      <c r="G237" s="15"/>
      <c r="H237" s="15"/>
      <c r="I237" s="15"/>
      <c r="J237" s="16"/>
      <c r="K237" s="16"/>
    </row>
    <row r="238" spans="3:11" x14ac:dyDescent="0.25">
      <c r="C238" s="14"/>
      <c r="F238" s="15"/>
      <c r="G238" s="15"/>
      <c r="H238" s="15"/>
      <c r="I238" s="15"/>
      <c r="J238" s="16"/>
      <c r="K238" s="16"/>
    </row>
    <row r="239" spans="3:11" x14ac:dyDescent="0.25">
      <c r="C239" s="14"/>
      <c r="F239" s="15"/>
      <c r="G239" s="15"/>
      <c r="H239" s="15"/>
      <c r="I239" s="15"/>
      <c r="J239" s="16"/>
      <c r="K239" s="16"/>
    </row>
    <row r="240" spans="3:11" x14ac:dyDescent="0.25">
      <c r="C240" s="14"/>
      <c r="F240" s="15"/>
      <c r="G240" s="15"/>
      <c r="H240" s="15"/>
      <c r="I240" s="15"/>
      <c r="J240" s="16"/>
      <c r="K240" s="16"/>
    </row>
    <row r="241" spans="3:11" x14ac:dyDescent="0.25">
      <c r="C241" s="14"/>
      <c r="F241" s="15"/>
      <c r="G241" s="15"/>
      <c r="H241" s="15"/>
      <c r="I241" s="15"/>
      <c r="J241" s="16"/>
      <c r="K241" s="16"/>
    </row>
    <row r="242" spans="3:11" x14ac:dyDescent="0.25">
      <c r="C242" s="14"/>
      <c r="F242" s="15"/>
      <c r="G242" s="15"/>
      <c r="H242" s="15"/>
      <c r="I242" s="15"/>
      <c r="J242" s="16"/>
      <c r="K242" s="16"/>
    </row>
    <row r="243" spans="3:11" x14ac:dyDescent="0.25">
      <c r="C243" s="14"/>
      <c r="F243" s="15"/>
      <c r="G243" s="15"/>
      <c r="H243" s="15"/>
      <c r="I243" s="15"/>
      <c r="J243" s="16"/>
      <c r="K243" s="16"/>
    </row>
    <row r="244" spans="3:11" x14ac:dyDescent="0.25">
      <c r="C244" s="14"/>
      <c r="F244" s="15"/>
      <c r="G244" s="15"/>
      <c r="H244" s="15"/>
      <c r="I244" s="15"/>
      <c r="J244" s="16"/>
      <c r="K244" s="16"/>
    </row>
    <row r="245" spans="3:11" x14ac:dyDescent="0.25">
      <c r="C245" s="14"/>
      <c r="F245" s="15"/>
      <c r="G245" s="15"/>
      <c r="H245" s="15"/>
      <c r="I245" s="15"/>
      <c r="J245" s="16"/>
      <c r="K245" s="16"/>
    </row>
    <row r="246" spans="3:11" x14ac:dyDescent="0.25">
      <c r="C246" s="14"/>
      <c r="F246" s="15"/>
      <c r="G246" s="15"/>
      <c r="H246" s="15"/>
      <c r="I246" s="15"/>
      <c r="J246" s="16"/>
      <c r="K246" s="16"/>
    </row>
    <row r="247" spans="3:11" x14ac:dyDescent="0.25">
      <c r="C247" s="14"/>
      <c r="F247" s="15"/>
      <c r="G247" s="15"/>
      <c r="H247" s="15"/>
      <c r="I247" s="15"/>
      <c r="J247" s="16"/>
      <c r="K247" s="16"/>
    </row>
    <row r="248" spans="3:11" x14ac:dyDescent="0.25">
      <c r="C248" s="14"/>
      <c r="F248" s="15"/>
      <c r="G248" s="15"/>
      <c r="H248" s="15"/>
      <c r="I248" s="15"/>
      <c r="J248" s="16"/>
      <c r="K248" s="16"/>
    </row>
    <row r="249" spans="3:11" x14ac:dyDescent="0.25">
      <c r="C249" s="14"/>
      <c r="F249" s="15"/>
      <c r="G249" s="15"/>
      <c r="H249" s="15"/>
      <c r="I249" s="15"/>
      <c r="J249" s="16"/>
      <c r="K249" s="16"/>
    </row>
    <row r="250" spans="3:11" x14ac:dyDescent="0.25">
      <c r="C250" s="14"/>
      <c r="F250" s="15"/>
      <c r="G250" s="15"/>
      <c r="H250" s="15"/>
      <c r="I250" s="15"/>
      <c r="J250" s="16"/>
      <c r="K250" s="16"/>
    </row>
    <row r="251" spans="3:11" x14ac:dyDescent="0.25">
      <c r="C251" s="14"/>
      <c r="F251" s="15"/>
      <c r="G251" s="15"/>
      <c r="H251" s="15"/>
      <c r="I251" s="15"/>
      <c r="J251" s="16"/>
      <c r="K251" s="16"/>
    </row>
    <row r="252" spans="3:11" x14ac:dyDescent="0.25">
      <c r="C252" s="14"/>
      <c r="F252" s="15"/>
      <c r="G252" s="15"/>
      <c r="H252" s="15"/>
      <c r="I252" s="15"/>
      <c r="J252" s="16"/>
      <c r="K252" s="16"/>
    </row>
    <row r="253" spans="3:11" x14ac:dyDescent="0.25">
      <c r="C253" s="14"/>
      <c r="F253" s="15"/>
      <c r="G253" s="15"/>
      <c r="H253" s="15"/>
      <c r="I253" s="15"/>
      <c r="J253" s="16"/>
      <c r="K253" s="16"/>
    </row>
    <row r="254" spans="3:11" x14ac:dyDescent="0.25">
      <c r="C254" s="14"/>
      <c r="F254" s="15"/>
      <c r="G254" s="15"/>
      <c r="H254" s="15"/>
      <c r="I254" s="15"/>
      <c r="J254" s="16"/>
      <c r="K254" s="16"/>
    </row>
    <row r="255" spans="3:11" x14ac:dyDescent="0.25">
      <c r="C255" s="14"/>
      <c r="F255" s="15"/>
      <c r="G255" s="15"/>
      <c r="H255" s="15"/>
      <c r="I255" s="15"/>
      <c r="J255" s="16"/>
      <c r="K255" s="16"/>
    </row>
    <row r="256" spans="3:11" x14ac:dyDescent="0.25">
      <c r="C256" s="14"/>
      <c r="F256" s="15"/>
      <c r="G256" s="15"/>
      <c r="H256" s="15"/>
      <c r="I256" s="15"/>
      <c r="J256" s="16"/>
      <c r="K256" s="16"/>
    </row>
    <row r="257" spans="3:11" x14ac:dyDescent="0.25">
      <c r="C257" s="14"/>
      <c r="F257" s="15"/>
      <c r="G257" s="15"/>
      <c r="H257" s="15"/>
      <c r="I257" s="15"/>
      <c r="J257" s="16"/>
      <c r="K257" s="16"/>
    </row>
    <row r="258" spans="3:11" x14ac:dyDescent="0.25">
      <c r="C258" s="14"/>
      <c r="F258" s="15"/>
      <c r="G258" s="15"/>
      <c r="H258" s="15"/>
      <c r="I258" s="15"/>
      <c r="J258" s="16"/>
      <c r="K258" s="16"/>
    </row>
    <row r="259" spans="3:11" x14ac:dyDescent="0.25">
      <c r="C259" s="14"/>
      <c r="F259" s="15"/>
      <c r="G259" s="15"/>
      <c r="H259" s="15"/>
      <c r="I259" s="15"/>
      <c r="J259" s="16"/>
      <c r="K259" s="16"/>
    </row>
    <row r="260" spans="3:11" x14ac:dyDescent="0.25">
      <c r="C260" s="14"/>
      <c r="F260" s="15"/>
      <c r="G260" s="15"/>
      <c r="H260" s="15"/>
      <c r="I260" s="15"/>
      <c r="J260" s="16"/>
      <c r="K260" s="16"/>
    </row>
    <row r="261" spans="3:11" x14ac:dyDescent="0.25">
      <c r="C261" s="14"/>
      <c r="F261" s="15"/>
      <c r="G261" s="15"/>
      <c r="H261" s="15"/>
      <c r="I261" s="15"/>
      <c r="J261" s="16"/>
      <c r="K261" s="16"/>
    </row>
    <row r="262" spans="3:11" x14ac:dyDescent="0.25">
      <c r="C262" s="14"/>
      <c r="F262" s="15"/>
      <c r="G262" s="15"/>
      <c r="H262" s="15"/>
      <c r="I262" s="15"/>
      <c r="J262" s="16"/>
      <c r="K262" s="16"/>
    </row>
    <row r="263" spans="3:11" x14ac:dyDescent="0.25">
      <c r="C263" s="14"/>
      <c r="F263" s="15"/>
      <c r="G263" s="15"/>
      <c r="H263" s="15"/>
      <c r="I263" s="15"/>
      <c r="J263" s="16"/>
      <c r="K263" s="16"/>
    </row>
    <row r="264" spans="3:11" x14ac:dyDescent="0.25">
      <c r="C264" s="14"/>
      <c r="F264" s="15"/>
      <c r="G264" s="15"/>
      <c r="H264" s="15"/>
      <c r="I264" s="15"/>
      <c r="J264" s="16"/>
      <c r="K264" s="16"/>
    </row>
    <row r="265" spans="3:11" x14ac:dyDescent="0.25">
      <c r="C265" s="14"/>
      <c r="F265" s="15"/>
      <c r="G265" s="15"/>
      <c r="H265" s="15"/>
      <c r="I265" s="15"/>
      <c r="J265" s="16"/>
      <c r="K265" s="16"/>
    </row>
    <row r="266" spans="3:11" x14ac:dyDescent="0.25">
      <c r="C266" s="14"/>
      <c r="F266" s="15"/>
      <c r="G266" s="15"/>
      <c r="H266" s="15"/>
      <c r="I266" s="15"/>
      <c r="J266" s="16"/>
      <c r="K266" s="16"/>
    </row>
    <row r="267" spans="3:11" x14ac:dyDescent="0.25">
      <c r="C267" s="14"/>
      <c r="F267" s="15"/>
      <c r="G267" s="15"/>
      <c r="H267" s="15"/>
      <c r="I267" s="15"/>
      <c r="J267" s="16"/>
      <c r="K267" s="16"/>
    </row>
    <row r="268" spans="3:11" x14ac:dyDescent="0.25">
      <c r="C268" s="14"/>
      <c r="F268" s="15"/>
      <c r="G268" s="15"/>
      <c r="H268" s="15"/>
      <c r="I268" s="15"/>
      <c r="J268" s="16"/>
      <c r="K268" s="16"/>
    </row>
    <row r="269" spans="3:11" x14ac:dyDescent="0.25">
      <c r="C269" s="14"/>
      <c r="F269" s="15"/>
      <c r="G269" s="15"/>
      <c r="H269" s="15"/>
      <c r="I269" s="15"/>
      <c r="J269" s="16"/>
      <c r="K269" s="16"/>
    </row>
    <row r="270" spans="3:11" x14ac:dyDescent="0.25">
      <c r="C270" s="14"/>
      <c r="F270" s="15"/>
      <c r="G270" s="15"/>
      <c r="H270" s="15"/>
      <c r="I270" s="15"/>
      <c r="J270" s="16"/>
      <c r="K270" s="16"/>
    </row>
    <row r="271" spans="3:11" x14ac:dyDescent="0.25">
      <c r="C271" s="14"/>
      <c r="F271" s="15"/>
      <c r="G271" s="15"/>
      <c r="H271" s="15"/>
      <c r="I271" s="15"/>
      <c r="J271" s="16"/>
      <c r="K271" s="16"/>
    </row>
    <row r="272" spans="3:11" x14ac:dyDescent="0.25">
      <c r="C272" s="14"/>
      <c r="F272" s="15"/>
      <c r="G272" s="15"/>
      <c r="H272" s="15"/>
      <c r="I272" s="15"/>
      <c r="J272" s="16"/>
      <c r="K272" s="16"/>
    </row>
    <row r="273" spans="3:11" x14ac:dyDescent="0.25">
      <c r="C273" s="14"/>
      <c r="F273" s="15"/>
      <c r="G273" s="15"/>
      <c r="H273" s="15"/>
      <c r="I273" s="15"/>
      <c r="J273" s="16"/>
      <c r="K273" s="16"/>
    </row>
    <row r="274" spans="3:11" x14ac:dyDescent="0.25">
      <c r="C274" s="14"/>
      <c r="F274" s="15"/>
      <c r="G274" s="15"/>
      <c r="H274" s="15"/>
      <c r="I274" s="15"/>
      <c r="J274" s="16"/>
      <c r="K274" s="16"/>
    </row>
    <row r="275" spans="3:11" x14ac:dyDescent="0.25">
      <c r="C275" s="14"/>
      <c r="F275" s="15"/>
      <c r="G275" s="15"/>
      <c r="H275" s="15"/>
      <c r="I275" s="15"/>
      <c r="J275" s="16"/>
      <c r="K275" s="16"/>
    </row>
    <row r="276" spans="3:11" x14ac:dyDescent="0.25">
      <c r="C276" s="14"/>
      <c r="F276" s="15"/>
      <c r="G276" s="15"/>
      <c r="H276" s="15"/>
      <c r="I276" s="15"/>
      <c r="J276" s="16"/>
      <c r="K276" s="16"/>
    </row>
    <row r="277" spans="3:11" x14ac:dyDescent="0.25">
      <c r="C277" s="14"/>
      <c r="F277" s="15"/>
      <c r="G277" s="15"/>
      <c r="H277" s="15"/>
      <c r="I277" s="15"/>
      <c r="J277" s="16"/>
      <c r="K277" s="16"/>
    </row>
    <row r="278" spans="3:11" x14ac:dyDescent="0.25">
      <c r="C278" s="14"/>
      <c r="F278" s="15"/>
      <c r="G278" s="15"/>
      <c r="H278" s="15"/>
      <c r="I278" s="15"/>
      <c r="J278" s="16"/>
      <c r="K278" s="16"/>
    </row>
    <row r="279" spans="3:11" x14ac:dyDescent="0.25">
      <c r="C279" s="14"/>
      <c r="F279" s="15"/>
      <c r="G279" s="15"/>
      <c r="H279" s="15"/>
      <c r="I279" s="15"/>
      <c r="J279" s="16"/>
      <c r="K279" s="16"/>
    </row>
    <row r="280" spans="3:11" x14ac:dyDescent="0.25">
      <c r="C280" s="14"/>
      <c r="F280" s="15"/>
      <c r="G280" s="15"/>
      <c r="H280" s="15"/>
      <c r="I280" s="15"/>
      <c r="J280" s="16"/>
      <c r="K280" s="16"/>
    </row>
    <row r="281" spans="3:11" x14ac:dyDescent="0.25">
      <c r="C281" s="14"/>
      <c r="F281" s="15"/>
      <c r="G281" s="15"/>
      <c r="H281" s="15"/>
      <c r="I281" s="15"/>
      <c r="J281" s="16"/>
      <c r="K281" s="16"/>
    </row>
    <row r="282" spans="3:11" x14ac:dyDescent="0.25">
      <c r="C282" s="14"/>
      <c r="F282" s="15"/>
      <c r="G282" s="15"/>
      <c r="H282" s="15"/>
      <c r="I282" s="15"/>
      <c r="J282" s="16"/>
      <c r="K282" s="16"/>
    </row>
    <row r="283" spans="3:11" x14ac:dyDescent="0.25">
      <c r="C283" s="14"/>
      <c r="F283" s="15"/>
      <c r="G283" s="15"/>
      <c r="H283" s="15"/>
      <c r="I283" s="15"/>
      <c r="J283" s="16"/>
      <c r="K283" s="16"/>
    </row>
    <row r="284" spans="3:11" x14ac:dyDescent="0.25">
      <c r="C284" s="14"/>
      <c r="F284" s="15"/>
      <c r="G284" s="15"/>
      <c r="H284" s="15"/>
      <c r="I284" s="15"/>
      <c r="J284" s="16"/>
      <c r="K284" s="16"/>
    </row>
    <row r="285" spans="3:11" x14ac:dyDescent="0.25">
      <c r="C285" s="14"/>
      <c r="F285" s="15"/>
      <c r="G285" s="15"/>
      <c r="H285" s="15"/>
      <c r="I285" s="15"/>
      <c r="J285" s="16"/>
      <c r="K285" s="16"/>
    </row>
    <row r="286" spans="3:11" x14ac:dyDescent="0.25">
      <c r="C286" s="14"/>
      <c r="F286" s="15"/>
      <c r="G286" s="15"/>
      <c r="H286" s="15"/>
      <c r="I286" s="15"/>
      <c r="J286" s="16"/>
      <c r="K286" s="16"/>
    </row>
    <row r="287" spans="3:11" x14ac:dyDescent="0.25">
      <c r="C287" s="14"/>
      <c r="F287" s="15"/>
      <c r="G287" s="15"/>
      <c r="H287" s="15"/>
      <c r="I287" s="15"/>
      <c r="J287" s="16"/>
      <c r="K287" s="16"/>
    </row>
    <row r="288" spans="3:11" x14ac:dyDescent="0.25">
      <c r="C288" s="14"/>
      <c r="F288" s="15"/>
      <c r="G288" s="15"/>
      <c r="H288" s="15"/>
      <c r="I288" s="15"/>
      <c r="J288" s="16"/>
      <c r="K288" s="16"/>
    </row>
    <row r="289" spans="3:11" x14ac:dyDescent="0.25">
      <c r="C289" s="14"/>
      <c r="F289" s="15"/>
      <c r="G289" s="15"/>
      <c r="H289" s="15"/>
      <c r="I289" s="15"/>
      <c r="J289" s="16"/>
      <c r="K289" s="16"/>
    </row>
    <row r="290" spans="3:11" x14ac:dyDescent="0.25">
      <c r="C290" s="14"/>
      <c r="F290" s="15"/>
      <c r="G290" s="15"/>
      <c r="H290" s="15"/>
      <c r="I290" s="15"/>
      <c r="J290" s="16"/>
      <c r="K290" s="16"/>
    </row>
    <row r="291" spans="3:11" x14ac:dyDescent="0.25">
      <c r="C291" s="14"/>
      <c r="F291" s="15"/>
      <c r="G291" s="15"/>
      <c r="H291" s="15"/>
      <c r="I291" s="15"/>
      <c r="J291" s="16"/>
      <c r="K291" s="16"/>
    </row>
    <row r="292" spans="3:11" x14ac:dyDescent="0.25">
      <c r="C292" s="14"/>
      <c r="F292" s="15"/>
      <c r="G292" s="15"/>
      <c r="H292" s="15"/>
      <c r="I292" s="15"/>
      <c r="J292" s="16"/>
      <c r="K292" s="16"/>
    </row>
    <row r="293" spans="3:11" x14ac:dyDescent="0.25">
      <c r="C293" s="14"/>
      <c r="F293" s="15"/>
      <c r="G293" s="15"/>
      <c r="H293" s="15"/>
      <c r="I293" s="15"/>
      <c r="J293" s="16"/>
      <c r="K293" s="16"/>
    </row>
    <row r="294" spans="3:11" x14ac:dyDescent="0.25">
      <c r="C294" s="14"/>
      <c r="F294" s="15"/>
      <c r="G294" s="15"/>
      <c r="H294" s="15"/>
      <c r="I294" s="15"/>
      <c r="J294" s="16"/>
      <c r="K294" s="16"/>
    </row>
    <row r="295" spans="3:11" x14ac:dyDescent="0.25">
      <c r="C295" s="14"/>
      <c r="F295" s="15"/>
      <c r="G295" s="15"/>
      <c r="H295" s="15"/>
      <c r="I295" s="15"/>
      <c r="J295" s="16"/>
      <c r="K295" s="16"/>
    </row>
    <row r="296" spans="3:11" x14ac:dyDescent="0.25">
      <c r="C296" s="14"/>
      <c r="F296" s="15"/>
      <c r="G296" s="15"/>
      <c r="H296" s="15"/>
      <c r="I296" s="15"/>
      <c r="J296" s="16"/>
      <c r="K296" s="16"/>
    </row>
    <row r="297" spans="3:11" x14ac:dyDescent="0.25">
      <c r="C297" s="14"/>
      <c r="F297" s="15"/>
      <c r="G297" s="15"/>
      <c r="H297" s="15"/>
      <c r="I297" s="15"/>
      <c r="J297" s="16"/>
      <c r="K297" s="16"/>
    </row>
    <row r="298" spans="3:11" x14ac:dyDescent="0.25">
      <c r="C298" s="14"/>
      <c r="F298" s="15"/>
      <c r="G298" s="15"/>
      <c r="H298" s="15"/>
      <c r="I298" s="15"/>
      <c r="J298" s="16"/>
      <c r="K298" s="16"/>
    </row>
    <row r="299" spans="3:11" x14ac:dyDescent="0.25">
      <c r="C299" s="14"/>
      <c r="F299" s="15"/>
      <c r="G299" s="15"/>
      <c r="H299" s="15"/>
      <c r="I299" s="15"/>
      <c r="J299" s="16"/>
      <c r="K299" s="16"/>
    </row>
    <row r="300" spans="3:11" x14ac:dyDescent="0.25">
      <c r="C300" s="14"/>
      <c r="F300" s="15"/>
      <c r="G300" s="15"/>
      <c r="H300" s="15"/>
      <c r="I300" s="15"/>
      <c r="J300" s="16"/>
      <c r="K300" s="16"/>
    </row>
    <row r="301" spans="3:11" x14ac:dyDescent="0.25">
      <c r="C301" s="14"/>
      <c r="F301" s="15"/>
      <c r="G301" s="15"/>
      <c r="H301" s="15"/>
      <c r="I301" s="15"/>
      <c r="J301" s="16"/>
      <c r="K301" s="16"/>
    </row>
    <row r="302" spans="3:11" x14ac:dyDescent="0.25">
      <c r="C302" s="14"/>
      <c r="F302" s="15"/>
      <c r="G302" s="15"/>
      <c r="H302" s="15"/>
      <c r="I302" s="15"/>
      <c r="J302" s="16"/>
      <c r="K302" s="16"/>
    </row>
    <row r="303" spans="3:11" x14ac:dyDescent="0.25">
      <c r="C303" s="14"/>
      <c r="F303" s="15"/>
      <c r="G303" s="15"/>
      <c r="H303" s="15"/>
      <c r="I303" s="15"/>
      <c r="J303" s="16"/>
      <c r="K303" s="16"/>
    </row>
    <row r="304" spans="3:11" x14ac:dyDescent="0.25">
      <c r="C304" s="14"/>
      <c r="F304" s="15"/>
      <c r="G304" s="15"/>
      <c r="H304" s="15"/>
      <c r="I304" s="15"/>
      <c r="J304" s="16"/>
      <c r="K304" s="16"/>
    </row>
    <row r="305" spans="3:11" x14ac:dyDescent="0.25">
      <c r="C305" s="14"/>
      <c r="F305" s="15"/>
      <c r="G305" s="15"/>
      <c r="H305" s="15"/>
      <c r="I305" s="15"/>
      <c r="J305" s="16"/>
      <c r="K305" s="16"/>
    </row>
    <row r="306" spans="3:11" x14ac:dyDescent="0.25">
      <c r="C306" s="14"/>
      <c r="F306" s="15"/>
      <c r="G306" s="15"/>
      <c r="H306" s="15"/>
      <c r="I306" s="15"/>
      <c r="J306" s="16"/>
      <c r="K306" s="16"/>
    </row>
    <row r="307" spans="3:11" x14ac:dyDescent="0.25">
      <c r="C307" s="14"/>
      <c r="F307" s="15"/>
      <c r="G307" s="15"/>
      <c r="H307" s="15"/>
      <c r="I307" s="15"/>
      <c r="J307" s="16"/>
      <c r="K307" s="16"/>
    </row>
    <row r="308" spans="3:11" x14ac:dyDescent="0.25">
      <c r="C308" s="14"/>
      <c r="F308" s="15"/>
      <c r="G308" s="15"/>
      <c r="H308" s="15"/>
      <c r="I308" s="15"/>
      <c r="J308" s="16"/>
      <c r="K308" s="16"/>
    </row>
    <row r="309" spans="3:11" x14ac:dyDescent="0.25">
      <c r="C309" s="14"/>
      <c r="F309" s="15"/>
      <c r="G309" s="15"/>
      <c r="H309" s="15"/>
      <c r="I309" s="15"/>
      <c r="J309" s="16"/>
      <c r="K309" s="16"/>
    </row>
    <row r="310" spans="3:11" x14ac:dyDescent="0.25">
      <c r="C310" s="14"/>
      <c r="F310" s="15"/>
      <c r="G310" s="15"/>
      <c r="H310" s="15"/>
      <c r="I310" s="15"/>
      <c r="J310" s="16"/>
      <c r="K310" s="16"/>
    </row>
    <row r="311" spans="3:11" x14ac:dyDescent="0.25">
      <c r="C311" s="14"/>
      <c r="F311" s="15"/>
      <c r="G311" s="15"/>
      <c r="H311" s="15"/>
      <c r="I311" s="15"/>
      <c r="J311" s="16"/>
      <c r="K311" s="16"/>
    </row>
    <row r="312" spans="3:11" x14ac:dyDescent="0.25">
      <c r="C312" s="14"/>
      <c r="F312" s="15"/>
      <c r="G312" s="15"/>
      <c r="H312" s="15"/>
      <c r="I312" s="15"/>
      <c r="J312" s="16"/>
      <c r="K312" s="16"/>
    </row>
    <row r="313" spans="3:11" x14ac:dyDescent="0.25">
      <c r="C313" s="14"/>
      <c r="F313" s="15"/>
      <c r="G313" s="15"/>
      <c r="H313" s="15"/>
      <c r="I313" s="15"/>
      <c r="J313" s="16"/>
      <c r="K313" s="16"/>
    </row>
    <row r="314" spans="3:11" x14ac:dyDescent="0.25">
      <c r="C314" s="14"/>
      <c r="F314" s="15"/>
      <c r="G314" s="15"/>
      <c r="H314" s="15"/>
      <c r="I314" s="15"/>
      <c r="J314" s="16"/>
      <c r="K314" s="16"/>
    </row>
    <row r="315" spans="3:11" x14ac:dyDescent="0.25">
      <c r="C315" s="14"/>
      <c r="F315" s="15"/>
      <c r="G315" s="15"/>
      <c r="H315" s="15"/>
      <c r="I315" s="15"/>
      <c r="J315" s="16"/>
      <c r="K315" s="16"/>
    </row>
    <row r="316" spans="3:11" x14ac:dyDescent="0.25">
      <c r="C316" s="14"/>
      <c r="F316" s="15"/>
      <c r="G316" s="15"/>
      <c r="H316" s="15"/>
      <c r="I316" s="15"/>
      <c r="J316" s="16"/>
      <c r="K316" s="16"/>
    </row>
    <row r="317" spans="3:11" x14ac:dyDescent="0.25">
      <c r="C317" s="14"/>
      <c r="F317" s="15"/>
      <c r="G317" s="15"/>
      <c r="H317" s="15"/>
      <c r="I317" s="15"/>
      <c r="J317" s="16"/>
      <c r="K317" s="16"/>
    </row>
    <row r="318" spans="3:11" x14ac:dyDescent="0.25">
      <c r="C318" s="14"/>
      <c r="F318" s="15"/>
      <c r="G318" s="15"/>
      <c r="H318" s="15"/>
      <c r="I318" s="15"/>
      <c r="J318" s="16"/>
      <c r="K318" s="16"/>
    </row>
    <row r="319" spans="3:11" x14ac:dyDescent="0.25">
      <c r="C319" s="14"/>
      <c r="F319" s="15"/>
      <c r="G319" s="15"/>
      <c r="H319" s="15"/>
      <c r="I319" s="15"/>
      <c r="J319" s="16"/>
      <c r="K319" s="16"/>
    </row>
  </sheetData>
  <autoFilter ref="A1:L1">
    <sortState ref="A2:L131">
      <sortCondition ref="B1"/>
    </sortState>
  </autoFilter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W43"/>
  <sheetViews>
    <sheetView tabSelected="1" workbookViewId="0">
      <selection activeCell="J3" sqref="J3"/>
    </sheetView>
  </sheetViews>
  <sheetFormatPr defaultRowHeight="15" x14ac:dyDescent="0.25"/>
  <cols>
    <col min="1" max="1" width="18.85546875" customWidth="1"/>
    <col min="2" max="12" width="7.28515625" style="1" customWidth="1"/>
    <col min="13" max="20" width="7.42578125" customWidth="1"/>
  </cols>
  <sheetData>
    <row r="1" spans="1:23" x14ac:dyDescent="0.25">
      <c r="A1" s="10" t="s">
        <v>31</v>
      </c>
      <c r="B1" s="10">
        <v>-100</v>
      </c>
      <c r="C1" s="10">
        <f>B2</f>
        <v>5000</v>
      </c>
      <c r="D1" s="10">
        <f>C2</f>
        <v>10000</v>
      </c>
      <c r="E1" s="10">
        <f t="shared" ref="E1:L1" si="0">D2</f>
        <v>15000</v>
      </c>
      <c r="F1" s="10">
        <f t="shared" si="0"/>
        <v>20000</v>
      </c>
      <c r="G1" s="10">
        <f t="shared" si="0"/>
        <v>25000</v>
      </c>
      <c r="H1" s="10">
        <f t="shared" si="0"/>
        <v>30000</v>
      </c>
      <c r="I1" s="10">
        <f t="shared" si="0"/>
        <v>35000</v>
      </c>
      <c r="J1" s="10">
        <f t="shared" si="0"/>
        <v>40000</v>
      </c>
      <c r="K1" s="10">
        <f t="shared" si="0"/>
        <v>45000</v>
      </c>
      <c r="L1" s="10">
        <f t="shared" si="0"/>
        <v>50000</v>
      </c>
    </row>
    <row r="2" spans="1:23" x14ac:dyDescent="0.25">
      <c r="A2" s="10" t="s">
        <v>32</v>
      </c>
      <c r="B2" s="10">
        <f>N2</f>
        <v>5000</v>
      </c>
      <c r="C2" s="10">
        <f>C1+$N$2</f>
        <v>10000</v>
      </c>
      <c r="D2" s="10">
        <f t="shared" ref="D2:K2" si="1">D1+$N$2</f>
        <v>15000</v>
      </c>
      <c r="E2" s="10">
        <f t="shared" si="1"/>
        <v>20000</v>
      </c>
      <c r="F2" s="10">
        <f t="shared" si="1"/>
        <v>25000</v>
      </c>
      <c r="G2" s="10">
        <f t="shared" si="1"/>
        <v>30000</v>
      </c>
      <c r="H2" s="10">
        <f t="shared" si="1"/>
        <v>35000</v>
      </c>
      <c r="I2" s="10">
        <f t="shared" si="1"/>
        <v>40000</v>
      </c>
      <c r="J2" s="10">
        <f t="shared" si="1"/>
        <v>45000</v>
      </c>
      <c r="K2" s="10">
        <f t="shared" si="1"/>
        <v>50000</v>
      </c>
      <c r="L2" s="10">
        <v>999999</v>
      </c>
      <c r="N2">
        <v>5000</v>
      </c>
      <c r="O2" s="9"/>
      <c r="P2" s="9"/>
      <c r="Q2" s="9"/>
      <c r="R2" s="9"/>
      <c r="S2" s="9"/>
      <c r="T2" s="9"/>
      <c r="U2" s="9"/>
      <c r="V2" s="9"/>
      <c r="W2" s="9"/>
    </row>
    <row r="3" spans="1:23" x14ac:dyDescent="0.25">
      <c r="A3" s="17" t="s">
        <v>27</v>
      </c>
      <c r="B3" s="18">
        <v>29</v>
      </c>
      <c r="C3" s="18">
        <f>B3</f>
        <v>29</v>
      </c>
      <c r="D3" s="18">
        <f t="shared" ref="D3:L3" si="2">C3</f>
        <v>29</v>
      </c>
      <c r="E3" s="18">
        <f t="shared" si="2"/>
        <v>29</v>
      </c>
      <c r="F3" s="18">
        <f t="shared" si="2"/>
        <v>29</v>
      </c>
      <c r="G3" s="18">
        <f t="shared" si="2"/>
        <v>29</v>
      </c>
      <c r="H3" s="18">
        <v>24</v>
      </c>
      <c r="I3" s="18">
        <v>19</v>
      </c>
      <c r="J3" s="18">
        <f t="shared" si="2"/>
        <v>19</v>
      </c>
      <c r="K3" s="18">
        <f t="shared" si="2"/>
        <v>19</v>
      </c>
      <c r="L3" s="18">
        <f t="shared" si="2"/>
        <v>19</v>
      </c>
      <c r="O3" s="9"/>
      <c r="P3" s="9"/>
      <c r="Q3" s="9"/>
      <c r="R3" s="9"/>
      <c r="S3" s="9"/>
      <c r="T3" s="9"/>
      <c r="U3" s="9"/>
      <c r="V3" s="9"/>
      <c r="W3" s="9"/>
    </row>
    <row r="4" spans="1:23" x14ac:dyDescent="0.25">
      <c r="A4" s="17" t="s">
        <v>44</v>
      </c>
      <c r="B4" s="18">
        <v>30</v>
      </c>
      <c r="C4" s="18">
        <v>25</v>
      </c>
      <c r="D4" s="18">
        <v>20</v>
      </c>
      <c r="E4" s="18">
        <v>15</v>
      </c>
      <c r="F4" s="18">
        <v>5</v>
      </c>
      <c r="G4" s="18">
        <v>0</v>
      </c>
      <c r="H4" s="18">
        <f t="shared" ref="H4:L4" si="3">G4</f>
        <v>0</v>
      </c>
      <c r="I4" s="18">
        <f t="shared" si="3"/>
        <v>0</v>
      </c>
      <c r="J4" s="18">
        <f t="shared" si="3"/>
        <v>0</v>
      </c>
      <c r="K4" s="18">
        <f t="shared" si="3"/>
        <v>0</v>
      </c>
      <c r="L4" s="18">
        <f t="shared" si="3"/>
        <v>0</v>
      </c>
      <c r="O4" s="9"/>
      <c r="P4" s="9"/>
      <c r="Q4" s="9"/>
      <c r="R4" s="9"/>
      <c r="S4" s="9"/>
      <c r="T4" s="9"/>
      <c r="U4" s="9"/>
      <c r="V4" s="9"/>
      <c r="W4" s="9"/>
    </row>
    <row r="5" spans="1:23" x14ac:dyDescent="0.25">
      <c r="A5" s="17" t="s">
        <v>24</v>
      </c>
      <c r="B5" s="18">
        <v>5</v>
      </c>
      <c r="C5" s="18">
        <f t="shared" ref="C5:L5" si="4">B5</f>
        <v>5</v>
      </c>
      <c r="D5" s="18">
        <f t="shared" si="4"/>
        <v>5</v>
      </c>
      <c r="E5" s="18">
        <f t="shared" si="4"/>
        <v>5</v>
      </c>
      <c r="F5" s="18">
        <f t="shared" si="4"/>
        <v>5</v>
      </c>
      <c r="G5" s="18">
        <f t="shared" si="4"/>
        <v>5</v>
      </c>
      <c r="H5" s="18">
        <f t="shared" si="4"/>
        <v>5</v>
      </c>
      <c r="I5" s="18">
        <f t="shared" si="4"/>
        <v>5</v>
      </c>
      <c r="J5" s="18">
        <f t="shared" si="4"/>
        <v>5</v>
      </c>
      <c r="K5" s="18">
        <f t="shared" si="4"/>
        <v>5</v>
      </c>
      <c r="L5" s="18">
        <f t="shared" si="4"/>
        <v>5</v>
      </c>
      <c r="O5" s="9"/>
      <c r="P5" s="9"/>
      <c r="Q5" s="9"/>
      <c r="R5" s="9"/>
      <c r="S5" s="9"/>
      <c r="T5" s="9"/>
      <c r="U5" s="9"/>
      <c r="V5" s="9"/>
      <c r="W5" s="9"/>
    </row>
    <row r="6" spans="1:23" x14ac:dyDescent="0.25">
      <c r="A6" s="17" t="s">
        <v>17</v>
      </c>
      <c r="B6" s="18">
        <v>7</v>
      </c>
      <c r="C6" s="18">
        <f t="shared" ref="C6:L6" si="5">B6</f>
        <v>7</v>
      </c>
      <c r="D6" s="18">
        <f t="shared" si="5"/>
        <v>7</v>
      </c>
      <c r="E6" s="18">
        <f t="shared" si="5"/>
        <v>7</v>
      </c>
      <c r="F6" s="18">
        <f t="shared" si="5"/>
        <v>7</v>
      </c>
      <c r="G6" s="18">
        <f t="shared" si="5"/>
        <v>7</v>
      </c>
      <c r="H6" s="18">
        <f t="shared" si="5"/>
        <v>7</v>
      </c>
      <c r="I6" s="18">
        <f t="shared" si="5"/>
        <v>7</v>
      </c>
      <c r="J6" s="18">
        <f t="shared" si="5"/>
        <v>7</v>
      </c>
      <c r="K6" s="18">
        <f t="shared" si="5"/>
        <v>7</v>
      </c>
      <c r="L6" s="18">
        <f t="shared" si="5"/>
        <v>7</v>
      </c>
      <c r="O6" s="9"/>
      <c r="P6" s="9"/>
      <c r="Q6" s="9"/>
      <c r="R6" s="9"/>
      <c r="S6" s="9"/>
      <c r="T6" s="9"/>
      <c r="U6" s="9"/>
      <c r="V6" s="9"/>
      <c r="W6" s="9"/>
    </row>
    <row r="7" spans="1:23" x14ac:dyDescent="0.25">
      <c r="A7" s="17" t="s">
        <v>26</v>
      </c>
      <c r="B7" s="18">
        <v>15</v>
      </c>
      <c r="C7" s="18">
        <f t="shared" ref="C7:L7" si="6">B7</f>
        <v>15</v>
      </c>
      <c r="D7" s="18">
        <v>10</v>
      </c>
      <c r="E7" s="18">
        <v>5</v>
      </c>
      <c r="F7" s="18">
        <v>0</v>
      </c>
      <c r="G7" s="18">
        <f t="shared" si="6"/>
        <v>0</v>
      </c>
      <c r="H7" s="18">
        <f t="shared" si="6"/>
        <v>0</v>
      </c>
      <c r="I7" s="18">
        <f t="shared" si="6"/>
        <v>0</v>
      </c>
      <c r="J7" s="18">
        <f t="shared" si="6"/>
        <v>0</v>
      </c>
      <c r="K7" s="18">
        <f t="shared" si="6"/>
        <v>0</v>
      </c>
      <c r="L7" s="18">
        <f t="shared" si="6"/>
        <v>0</v>
      </c>
      <c r="O7" s="9"/>
      <c r="P7" s="9"/>
      <c r="Q7" s="9"/>
      <c r="R7" s="9"/>
      <c r="S7" s="9"/>
      <c r="T7" s="9"/>
      <c r="U7" s="9"/>
      <c r="V7" s="9"/>
      <c r="W7" s="9"/>
    </row>
    <row r="8" spans="1:23" x14ac:dyDescent="0.25">
      <c r="A8" s="17" t="s">
        <v>28</v>
      </c>
      <c r="B8" s="18">
        <v>0</v>
      </c>
      <c r="C8" s="18">
        <f t="shared" ref="C8:L8" si="7">B8</f>
        <v>0</v>
      </c>
      <c r="D8" s="18">
        <f t="shared" si="7"/>
        <v>0</v>
      </c>
      <c r="E8" s="18">
        <f t="shared" si="7"/>
        <v>0</v>
      </c>
      <c r="F8" s="18">
        <v>5</v>
      </c>
      <c r="G8" s="18">
        <v>5</v>
      </c>
      <c r="H8" s="18">
        <f t="shared" si="7"/>
        <v>5</v>
      </c>
      <c r="I8" s="18">
        <f t="shared" si="7"/>
        <v>5</v>
      </c>
      <c r="J8" s="18">
        <f t="shared" si="7"/>
        <v>5</v>
      </c>
      <c r="K8" s="18">
        <f t="shared" si="7"/>
        <v>5</v>
      </c>
      <c r="L8" s="18">
        <f t="shared" si="7"/>
        <v>5</v>
      </c>
      <c r="O8" s="9"/>
      <c r="P8" s="9"/>
      <c r="Q8" s="9"/>
      <c r="R8" s="9"/>
      <c r="S8" s="9"/>
      <c r="T8" s="9"/>
      <c r="U8" s="9"/>
      <c r="V8" s="9"/>
      <c r="W8" s="9"/>
    </row>
    <row r="9" spans="1:23" x14ac:dyDescent="0.25">
      <c r="A9" s="17" t="s">
        <v>30</v>
      </c>
      <c r="B9" s="18">
        <v>0</v>
      </c>
      <c r="C9" s="18">
        <v>5</v>
      </c>
      <c r="D9" s="18">
        <v>7</v>
      </c>
      <c r="E9" s="18">
        <v>7</v>
      </c>
      <c r="F9" s="18">
        <v>7</v>
      </c>
      <c r="G9" s="18">
        <v>0</v>
      </c>
      <c r="H9" s="18">
        <f t="shared" ref="H9:L9" si="8">G9</f>
        <v>0</v>
      </c>
      <c r="I9" s="18">
        <f t="shared" si="8"/>
        <v>0</v>
      </c>
      <c r="J9" s="18">
        <f t="shared" si="8"/>
        <v>0</v>
      </c>
      <c r="K9" s="18">
        <f t="shared" si="8"/>
        <v>0</v>
      </c>
      <c r="L9" s="18">
        <f t="shared" si="8"/>
        <v>0</v>
      </c>
      <c r="O9" s="9"/>
      <c r="P9" s="9"/>
      <c r="Q9" s="9"/>
      <c r="R9" s="9"/>
      <c r="S9" s="9"/>
      <c r="T9" s="9"/>
      <c r="U9" s="9"/>
      <c r="V9" s="9"/>
      <c r="W9" s="9"/>
    </row>
    <row r="10" spans="1:23" x14ac:dyDescent="0.25">
      <c r="A10" s="17" t="s">
        <v>25</v>
      </c>
      <c r="B10" s="18">
        <v>0</v>
      </c>
      <c r="C10" s="18">
        <f t="shared" ref="C10:L10" si="9">B10</f>
        <v>0</v>
      </c>
      <c r="D10" s="18">
        <f t="shared" si="9"/>
        <v>0</v>
      </c>
      <c r="E10" s="18">
        <f t="shared" si="9"/>
        <v>0</v>
      </c>
      <c r="F10" s="18">
        <f t="shared" si="9"/>
        <v>0</v>
      </c>
      <c r="G10" s="18">
        <v>5</v>
      </c>
      <c r="H10" s="18">
        <v>5</v>
      </c>
      <c r="I10" s="18">
        <v>5</v>
      </c>
      <c r="J10" s="18">
        <f t="shared" si="9"/>
        <v>5</v>
      </c>
      <c r="K10" s="18">
        <v>10</v>
      </c>
      <c r="L10" s="18">
        <f t="shared" si="9"/>
        <v>10</v>
      </c>
      <c r="O10" s="9"/>
      <c r="P10" s="9"/>
      <c r="Q10" s="9"/>
      <c r="R10" s="9"/>
      <c r="S10" s="9"/>
      <c r="T10" s="9"/>
      <c r="U10" s="9"/>
      <c r="V10" s="9"/>
      <c r="W10" s="9"/>
    </row>
    <row r="11" spans="1:23" x14ac:dyDescent="0.25">
      <c r="A11" s="17" t="s">
        <v>34</v>
      </c>
      <c r="B11" s="18">
        <v>0</v>
      </c>
      <c r="C11" s="18">
        <f t="shared" ref="C11:L11" si="10">B11</f>
        <v>0</v>
      </c>
      <c r="D11" s="18">
        <v>5</v>
      </c>
      <c r="E11" s="18">
        <v>10</v>
      </c>
      <c r="F11" s="18">
        <f t="shared" si="10"/>
        <v>10</v>
      </c>
      <c r="G11" s="18">
        <v>7</v>
      </c>
      <c r="H11" s="18">
        <f t="shared" si="10"/>
        <v>7</v>
      </c>
      <c r="I11" s="18">
        <f t="shared" si="10"/>
        <v>7</v>
      </c>
      <c r="J11" s="18">
        <f t="shared" si="10"/>
        <v>7</v>
      </c>
      <c r="K11" s="18">
        <f t="shared" si="10"/>
        <v>7</v>
      </c>
      <c r="L11" s="18">
        <f t="shared" si="10"/>
        <v>7</v>
      </c>
      <c r="O11" s="9"/>
      <c r="P11" s="9"/>
      <c r="Q11" s="9"/>
      <c r="R11" s="9"/>
      <c r="S11" s="9"/>
      <c r="T11" s="9"/>
      <c r="U11" s="9"/>
      <c r="V11" s="9"/>
      <c r="W11" s="9"/>
    </row>
    <row r="12" spans="1:23" x14ac:dyDescent="0.25">
      <c r="A12" s="17" t="s">
        <v>36</v>
      </c>
      <c r="B12" s="18">
        <v>7</v>
      </c>
      <c r="C12" s="18">
        <f t="shared" ref="C12:L12" si="11">B12</f>
        <v>7</v>
      </c>
      <c r="D12" s="18">
        <v>5</v>
      </c>
      <c r="E12" s="18">
        <f t="shared" si="11"/>
        <v>5</v>
      </c>
      <c r="F12" s="18">
        <v>0</v>
      </c>
      <c r="G12" s="18">
        <f t="shared" si="11"/>
        <v>0</v>
      </c>
      <c r="H12" s="18">
        <f t="shared" si="11"/>
        <v>0</v>
      </c>
      <c r="I12" s="18">
        <f t="shared" si="11"/>
        <v>0</v>
      </c>
      <c r="J12" s="18">
        <f t="shared" si="11"/>
        <v>0</v>
      </c>
      <c r="K12" s="18">
        <f t="shared" si="11"/>
        <v>0</v>
      </c>
      <c r="L12" s="18">
        <f t="shared" si="11"/>
        <v>0</v>
      </c>
      <c r="O12" s="9"/>
      <c r="P12" s="9"/>
      <c r="Q12" s="9"/>
      <c r="R12" s="9"/>
      <c r="S12" s="9"/>
      <c r="T12" s="9"/>
      <c r="U12" s="9"/>
      <c r="V12" s="9"/>
      <c r="W12" s="9"/>
    </row>
    <row r="13" spans="1:23" x14ac:dyDescent="0.25">
      <c r="A13" s="17" t="s">
        <v>37</v>
      </c>
      <c r="B13" s="18">
        <v>0</v>
      </c>
      <c r="C13" s="18">
        <f t="shared" ref="C13:L13" si="12">B13</f>
        <v>0</v>
      </c>
      <c r="D13" s="18">
        <f t="shared" si="12"/>
        <v>0</v>
      </c>
      <c r="E13" s="18">
        <f t="shared" si="12"/>
        <v>0</v>
      </c>
      <c r="F13" s="18">
        <f t="shared" si="12"/>
        <v>0</v>
      </c>
      <c r="G13" s="18">
        <f t="shared" si="12"/>
        <v>0</v>
      </c>
      <c r="H13" s="18">
        <f t="shared" si="12"/>
        <v>0</v>
      </c>
      <c r="I13" s="18">
        <v>5</v>
      </c>
      <c r="J13" s="18">
        <v>10</v>
      </c>
      <c r="K13" s="18">
        <f t="shared" si="12"/>
        <v>10</v>
      </c>
      <c r="L13" s="18">
        <f t="shared" si="12"/>
        <v>10</v>
      </c>
    </row>
    <row r="14" spans="1:23" x14ac:dyDescent="0.25">
      <c r="A14" s="17" t="s">
        <v>38</v>
      </c>
      <c r="B14" s="18">
        <v>0</v>
      </c>
      <c r="C14" s="18">
        <f t="shared" ref="C14:L14" si="13">B14</f>
        <v>0</v>
      </c>
      <c r="D14" s="18">
        <f t="shared" si="13"/>
        <v>0</v>
      </c>
      <c r="E14" s="18">
        <f t="shared" si="13"/>
        <v>0</v>
      </c>
      <c r="F14" s="18">
        <v>5</v>
      </c>
      <c r="G14" s="18">
        <v>10</v>
      </c>
      <c r="H14" s="18">
        <f t="shared" si="13"/>
        <v>10</v>
      </c>
      <c r="I14" s="18">
        <f t="shared" si="13"/>
        <v>10</v>
      </c>
      <c r="J14" s="18">
        <f t="shared" si="13"/>
        <v>10</v>
      </c>
      <c r="K14" s="18">
        <f t="shared" si="13"/>
        <v>10</v>
      </c>
      <c r="L14" s="18">
        <f t="shared" si="13"/>
        <v>10</v>
      </c>
    </row>
    <row r="15" spans="1:23" x14ac:dyDescent="0.25">
      <c r="A15" s="17" t="s">
        <v>39</v>
      </c>
      <c r="B15" s="18">
        <v>7</v>
      </c>
      <c r="C15" s="18">
        <f t="shared" ref="C15:L15" si="14">B15</f>
        <v>7</v>
      </c>
      <c r="D15" s="18">
        <f t="shared" si="14"/>
        <v>7</v>
      </c>
      <c r="E15" s="18">
        <f t="shared" si="14"/>
        <v>7</v>
      </c>
      <c r="F15" s="18">
        <f t="shared" si="14"/>
        <v>7</v>
      </c>
      <c r="G15" s="18">
        <f t="shared" si="14"/>
        <v>7</v>
      </c>
      <c r="H15" s="18">
        <f t="shared" si="14"/>
        <v>7</v>
      </c>
      <c r="I15" s="18">
        <f t="shared" si="14"/>
        <v>7</v>
      </c>
      <c r="J15" s="18">
        <f t="shared" si="14"/>
        <v>7</v>
      </c>
      <c r="K15" s="18">
        <f t="shared" si="14"/>
        <v>7</v>
      </c>
      <c r="L15" s="18">
        <f t="shared" si="14"/>
        <v>7</v>
      </c>
    </row>
    <row r="16" spans="1:23" x14ac:dyDescent="0.25">
      <c r="A16" s="17" t="s">
        <v>45</v>
      </c>
      <c r="B16" s="18">
        <v>0</v>
      </c>
      <c r="C16" s="18">
        <f t="shared" ref="C16:L16" si="15">B16</f>
        <v>0</v>
      </c>
      <c r="D16" s="18">
        <v>5</v>
      </c>
      <c r="E16" s="18">
        <v>10</v>
      </c>
      <c r="F16" s="18">
        <f t="shared" si="15"/>
        <v>10</v>
      </c>
      <c r="G16" s="18">
        <v>5</v>
      </c>
      <c r="H16" s="18">
        <f t="shared" si="15"/>
        <v>5</v>
      </c>
      <c r="I16" s="18">
        <v>5</v>
      </c>
      <c r="J16" s="18">
        <v>0</v>
      </c>
      <c r="K16" s="18">
        <f t="shared" si="15"/>
        <v>0</v>
      </c>
      <c r="L16" s="18">
        <f t="shared" si="15"/>
        <v>0</v>
      </c>
    </row>
    <row r="17" spans="1:13" x14ac:dyDescent="0.25">
      <c r="A17" s="17" t="s">
        <v>46</v>
      </c>
      <c r="B17" s="18">
        <v>0</v>
      </c>
      <c r="C17" s="18">
        <f t="shared" ref="C17:L17" si="16">B17</f>
        <v>0</v>
      </c>
      <c r="D17" s="18">
        <f t="shared" si="16"/>
        <v>0</v>
      </c>
      <c r="E17" s="18">
        <f t="shared" si="16"/>
        <v>0</v>
      </c>
      <c r="F17" s="18">
        <v>10</v>
      </c>
      <c r="G17" s="18">
        <f t="shared" si="16"/>
        <v>10</v>
      </c>
      <c r="H17" s="18">
        <f t="shared" si="16"/>
        <v>10</v>
      </c>
      <c r="I17" s="18">
        <v>5</v>
      </c>
      <c r="J17" s="18">
        <v>5</v>
      </c>
      <c r="K17" s="18">
        <v>0</v>
      </c>
      <c r="L17" s="18">
        <f t="shared" si="16"/>
        <v>0</v>
      </c>
    </row>
    <row r="18" spans="1:13" x14ac:dyDescent="0.25">
      <c r="A18" s="17" t="s">
        <v>47</v>
      </c>
      <c r="B18" s="18">
        <v>0</v>
      </c>
      <c r="C18" s="18">
        <f t="shared" ref="C18:L18" si="17">B18</f>
        <v>0</v>
      </c>
      <c r="D18" s="18">
        <f t="shared" si="17"/>
        <v>0</v>
      </c>
      <c r="E18" s="18">
        <f t="shared" si="17"/>
        <v>0</v>
      </c>
      <c r="F18" s="18">
        <f t="shared" si="17"/>
        <v>0</v>
      </c>
      <c r="G18" s="18">
        <f t="shared" si="17"/>
        <v>0</v>
      </c>
      <c r="H18" s="18">
        <v>5</v>
      </c>
      <c r="I18" s="18">
        <v>10</v>
      </c>
      <c r="J18" s="18">
        <f t="shared" si="17"/>
        <v>10</v>
      </c>
      <c r="K18" s="18">
        <f t="shared" si="17"/>
        <v>10</v>
      </c>
      <c r="L18" s="18">
        <f t="shared" si="17"/>
        <v>10</v>
      </c>
    </row>
    <row r="19" spans="1:13" x14ac:dyDescent="0.25">
      <c r="A19" s="17" t="s">
        <v>48</v>
      </c>
      <c r="B19" s="18">
        <v>0</v>
      </c>
      <c r="C19" s="18">
        <f t="shared" ref="C19:L19" si="18">B19</f>
        <v>0</v>
      </c>
      <c r="D19" s="18">
        <f t="shared" si="18"/>
        <v>0</v>
      </c>
      <c r="E19" s="18">
        <f t="shared" si="18"/>
        <v>0</v>
      </c>
      <c r="F19" s="18">
        <v>0</v>
      </c>
      <c r="G19" s="18">
        <v>10</v>
      </c>
      <c r="H19" s="18">
        <f t="shared" si="18"/>
        <v>10</v>
      </c>
      <c r="I19" s="18">
        <f t="shared" si="18"/>
        <v>10</v>
      </c>
      <c r="J19" s="18">
        <f t="shared" si="18"/>
        <v>10</v>
      </c>
      <c r="K19" s="18">
        <f t="shared" si="18"/>
        <v>10</v>
      </c>
      <c r="L19" s="18">
        <f t="shared" si="18"/>
        <v>10</v>
      </c>
    </row>
    <row r="20" spans="1:13" x14ac:dyDescent="0.25">
      <c r="A20" s="1"/>
      <c r="B20" s="2">
        <f>SUM(B3:B19)</f>
        <v>100</v>
      </c>
      <c r="C20" s="2">
        <f>SUM(C3:C19)</f>
        <v>100</v>
      </c>
      <c r="D20" s="2">
        <f t="shared" ref="D20:L20" si="19">SUM(D3:D19)</f>
        <v>100</v>
      </c>
      <c r="E20" s="2">
        <f t="shared" si="19"/>
        <v>100</v>
      </c>
      <c r="F20" s="2">
        <f t="shared" si="19"/>
        <v>100</v>
      </c>
      <c r="G20" s="2">
        <f t="shared" si="19"/>
        <v>100</v>
      </c>
      <c r="H20" s="2">
        <f t="shared" si="19"/>
        <v>100</v>
      </c>
      <c r="I20" s="2">
        <f t="shared" si="19"/>
        <v>100</v>
      </c>
      <c r="J20" s="2">
        <f t="shared" si="19"/>
        <v>100</v>
      </c>
      <c r="K20" s="2">
        <f t="shared" si="19"/>
        <v>100</v>
      </c>
      <c r="L20" s="2">
        <f t="shared" si="19"/>
        <v>100</v>
      </c>
    </row>
    <row r="22" spans="1:13" x14ac:dyDescent="0.25"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5">
      <c r="M23" s="1"/>
    </row>
    <row r="24" spans="1:13" x14ac:dyDescent="0.25">
      <c r="M24" s="1"/>
    </row>
    <row r="25" spans="1:13" x14ac:dyDescent="0.25"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/>
    </row>
    <row r="26" spans="1:13" x14ac:dyDescent="0.25">
      <c r="B26" s="1">
        <f t="shared" ref="B26:B42" si="20">B25+B3/100</f>
        <v>0.28999999999999998</v>
      </c>
      <c r="C26" s="1">
        <f t="shared" ref="C26:L26" si="21">C25+C3/100</f>
        <v>0.28999999999999998</v>
      </c>
      <c r="D26" s="1">
        <f t="shared" si="21"/>
        <v>0.28999999999999998</v>
      </c>
      <c r="E26" s="1">
        <f t="shared" si="21"/>
        <v>0.28999999999999998</v>
      </c>
      <c r="F26" s="1">
        <f t="shared" si="21"/>
        <v>0.28999999999999998</v>
      </c>
      <c r="G26" s="1">
        <f t="shared" si="21"/>
        <v>0.28999999999999998</v>
      </c>
      <c r="H26" s="1">
        <f t="shared" si="21"/>
        <v>0.24</v>
      </c>
      <c r="I26" s="1">
        <f t="shared" si="21"/>
        <v>0.19</v>
      </c>
      <c r="J26" s="1">
        <f t="shared" si="21"/>
        <v>0.19</v>
      </c>
      <c r="K26" s="1">
        <f t="shared" si="21"/>
        <v>0.19</v>
      </c>
      <c r="L26" s="1">
        <f t="shared" si="21"/>
        <v>0.19</v>
      </c>
      <c r="M26" s="1"/>
    </row>
    <row r="27" spans="1:13" x14ac:dyDescent="0.25">
      <c r="B27" s="1">
        <f t="shared" si="20"/>
        <v>0.59</v>
      </c>
      <c r="C27" s="1">
        <f t="shared" ref="C27:C41" si="22">C26+C4/100</f>
        <v>0.54</v>
      </c>
      <c r="D27" s="1">
        <f t="shared" ref="D27:D41" si="23">D26+D4/100</f>
        <v>0.49</v>
      </c>
      <c r="E27" s="1">
        <f t="shared" ref="E27:E41" si="24">E26+E4/100</f>
        <v>0.43999999999999995</v>
      </c>
      <c r="F27" s="1">
        <f t="shared" ref="F27:F41" si="25">F26+F4/100</f>
        <v>0.33999999999999997</v>
      </c>
      <c r="G27" s="1">
        <f t="shared" ref="G27:G41" si="26">G26+G4/100</f>
        <v>0.28999999999999998</v>
      </c>
      <c r="H27" s="1">
        <f t="shared" ref="H27:H41" si="27">H26+H4/100</f>
        <v>0.24</v>
      </c>
      <c r="I27" s="1">
        <f t="shared" ref="I27:I41" si="28">I26+I4/100</f>
        <v>0.19</v>
      </c>
      <c r="J27" s="1">
        <f t="shared" ref="J27:J41" si="29">J26+J4/100</f>
        <v>0.19</v>
      </c>
      <c r="K27" s="1">
        <f t="shared" ref="K27:K41" si="30">K26+K4/100</f>
        <v>0.19</v>
      </c>
      <c r="L27" s="1">
        <f t="shared" ref="L27:L41" si="31">L26+L4/100</f>
        <v>0.19</v>
      </c>
      <c r="M27" s="1"/>
    </row>
    <row r="28" spans="1:13" x14ac:dyDescent="0.25">
      <c r="B28" s="1">
        <f t="shared" si="20"/>
        <v>0.64</v>
      </c>
      <c r="C28" s="1">
        <f t="shared" si="22"/>
        <v>0.59000000000000008</v>
      </c>
      <c r="D28" s="1">
        <f t="shared" si="23"/>
        <v>0.54</v>
      </c>
      <c r="E28" s="1">
        <f t="shared" si="24"/>
        <v>0.48999999999999994</v>
      </c>
      <c r="F28" s="1">
        <f t="shared" si="25"/>
        <v>0.38999999999999996</v>
      </c>
      <c r="G28" s="1">
        <f t="shared" si="26"/>
        <v>0.33999999999999997</v>
      </c>
      <c r="H28" s="1">
        <f t="shared" si="27"/>
        <v>0.28999999999999998</v>
      </c>
      <c r="I28" s="1">
        <f t="shared" si="28"/>
        <v>0.24</v>
      </c>
      <c r="J28" s="1">
        <f t="shared" si="29"/>
        <v>0.24</v>
      </c>
      <c r="K28" s="1">
        <f t="shared" si="30"/>
        <v>0.24</v>
      </c>
      <c r="L28" s="1">
        <f t="shared" si="31"/>
        <v>0.24</v>
      </c>
      <c r="M28" s="1"/>
    </row>
    <row r="29" spans="1:13" x14ac:dyDescent="0.25">
      <c r="B29" s="1">
        <f t="shared" si="20"/>
        <v>0.71</v>
      </c>
      <c r="C29" s="1">
        <f t="shared" si="22"/>
        <v>0.66000000000000014</v>
      </c>
      <c r="D29" s="1">
        <f t="shared" si="23"/>
        <v>0.6100000000000001</v>
      </c>
      <c r="E29" s="1">
        <f t="shared" si="24"/>
        <v>0.55999999999999994</v>
      </c>
      <c r="F29" s="1">
        <f t="shared" si="25"/>
        <v>0.45999999999999996</v>
      </c>
      <c r="G29" s="1">
        <f t="shared" si="26"/>
        <v>0.41</v>
      </c>
      <c r="H29" s="1">
        <f t="shared" si="27"/>
        <v>0.36</v>
      </c>
      <c r="I29" s="1">
        <f t="shared" si="28"/>
        <v>0.31</v>
      </c>
      <c r="J29" s="1">
        <f t="shared" si="29"/>
        <v>0.31</v>
      </c>
      <c r="K29" s="1">
        <f t="shared" si="30"/>
        <v>0.31</v>
      </c>
      <c r="L29" s="1">
        <f t="shared" si="31"/>
        <v>0.31</v>
      </c>
      <c r="M29" s="1"/>
    </row>
    <row r="30" spans="1:13" x14ac:dyDescent="0.25">
      <c r="B30" s="1">
        <f t="shared" si="20"/>
        <v>0.86</v>
      </c>
      <c r="C30" s="1">
        <f t="shared" si="22"/>
        <v>0.81000000000000016</v>
      </c>
      <c r="D30" s="1">
        <f t="shared" si="23"/>
        <v>0.71000000000000008</v>
      </c>
      <c r="E30" s="1">
        <f t="shared" si="24"/>
        <v>0.61</v>
      </c>
      <c r="F30" s="1">
        <f t="shared" si="25"/>
        <v>0.45999999999999996</v>
      </c>
      <c r="G30" s="1">
        <f t="shared" si="26"/>
        <v>0.41</v>
      </c>
      <c r="H30" s="1">
        <f t="shared" si="27"/>
        <v>0.36</v>
      </c>
      <c r="I30" s="1">
        <f t="shared" si="28"/>
        <v>0.31</v>
      </c>
      <c r="J30" s="1">
        <f t="shared" si="29"/>
        <v>0.31</v>
      </c>
      <c r="K30" s="1">
        <f t="shared" si="30"/>
        <v>0.31</v>
      </c>
      <c r="L30" s="1">
        <f t="shared" si="31"/>
        <v>0.31</v>
      </c>
      <c r="M30" s="1"/>
    </row>
    <row r="31" spans="1:13" x14ac:dyDescent="0.25">
      <c r="B31" s="1">
        <f t="shared" si="20"/>
        <v>0.86</v>
      </c>
      <c r="C31" s="1">
        <f t="shared" si="22"/>
        <v>0.81000000000000016</v>
      </c>
      <c r="D31" s="1">
        <f t="shared" si="23"/>
        <v>0.71000000000000008</v>
      </c>
      <c r="E31" s="1">
        <f t="shared" si="24"/>
        <v>0.61</v>
      </c>
      <c r="F31" s="1">
        <f t="shared" si="25"/>
        <v>0.51</v>
      </c>
      <c r="G31" s="1">
        <f t="shared" si="26"/>
        <v>0.45999999999999996</v>
      </c>
      <c r="H31" s="1">
        <f t="shared" si="27"/>
        <v>0.41</v>
      </c>
      <c r="I31" s="1">
        <f t="shared" si="28"/>
        <v>0.36</v>
      </c>
      <c r="J31" s="1">
        <f t="shared" si="29"/>
        <v>0.36</v>
      </c>
      <c r="K31" s="1">
        <f t="shared" si="30"/>
        <v>0.36</v>
      </c>
      <c r="L31" s="1">
        <f t="shared" si="31"/>
        <v>0.36</v>
      </c>
      <c r="M31" s="1"/>
    </row>
    <row r="32" spans="1:13" x14ac:dyDescent="0.25">
      <c r="B32" s="1">
        <f t="shared" si="20"/>
        <v>0.86</v>
      </c>
      <c r="C32" s="1">
        <f t="shared" si="22"/>
        <v>0.86000000000000021</v>
      </c>
      <c r="D32" s="1">
        <f t="shared" si="23"/>
        <v>0.78</v>
      </c>
      <c r="E32" s="1">
        <f t="shared" si="24"/>
        <v>0.67999999999999994</v>
      </c>
      <c r="F32" s="1">
        <f t="shared" si="25"/>
        <v>0.58000000000000007</v>
      </c>
      <c r="G32" s="1">
        <f t="shared" si="26"/>
        <v>0.45999999999999996</v>
      </c>
      <c r="H32" s="1">
        <f t="shared" si="27"/>
        <v>0.41</v>
      </c>
      <c r="I32" s="1">
        <f t="shared" si="28"/>
        <v>0.36</v>
      </c>
      <c r="J32" s="1">
        <f t="shared" si="29"/>
        <v>0.36</v>
      </c>
      <c r="K32" s="1">
        <f t="shared" si="30"/>
        <v>0.36</v>
      </c>
      <c r="L32" s="1">
        <f t="shared" si="31"/>
        <v>0.36</v>
      </c>
      <c r="M32" s="1"/>
    </row>
    <row r="33" spans="2:13" x14ac:dyDescent="0.25">
      <c r="B33" s="1">
        <f t="shared" si="20"/>
        <v>0.86</v>
      </c>
      <c r="C33" s="1">
        <f t="shared" si="22"/>
        <v>0.86000000000000021</v>
      </c>
      <c r="D33" s="1">
        <f t="shared" si="23"/>
        <v>0.78</v>
      </c>
      <c r="E33" s="1">
        <f t="shared" si="24"/>
        <v>0.67999999999999994</v>
      </c>
      <c r="F33" s="1">
        <f t="shared" si="25"/>
        <v>0.58000000000000007</v>
      </c>
      <c r="G33" s="1">
        <f t="shared" si="26"/>
        <v>0.51</v>
      </c>
      <c r="H33" s="1">
        <f t="shared" si="27"/>
        <v>0.45999999999999996</v>
      </c>
      <c r="I33" s="1">
        <f t="shared" si="28"/>
        <v>0.41</v>
      </c>
      <c r="J33" s="1">
        <f t="shared" si="29"/>
        <v>0.41</v>
      </c>
      <c r="K33" s="1">
        <f t="shared" si="30"/>
        <v>0.45999999999999996</v>
      </c>
      <c r="L33" s="1">
        <f t="shared" si="31"/>
        <v>0.45999999999999996</v>
      </c>
      <c r="M33" s="1"/>
    </row>
    <row r="34" spans="2:13" x14ac:dyDescent="0.25">
      <c r="B34" s="1">
        <f t="shared" si="20"/>
        <v>0.86</v>
      </c>
      <c r="C34" s="1">
        <f t="shared" si="22"/>
        <v>0.86000000000000021</v>
      </c>
      <c r="D34" s="1">
        <f t="shared" si="23"/>
        <v>0.83000000000000007</v>
      </c>
      <c r="E34" s="1">
        <f t="shared" si="24"/>
        <v>0.77999999999999992</v>
      </c>
      <c r="F34" s="1">
        <f t="shared" si="25"/>
        <v>0.68</v>
      </c>
      <c r="G34" s="1">
        <f t="shared" si="26"/>
        <v>0.58000000000000007</v>
      </c>
      <c r="H34" s="1">
        <f t="shared" si="27"/>
        <v>0.53</v>
      </c>
      <c r="I34" s="1">
        <f t="shared" si="28"/>
        <v>0.48</v>
      </c>
      <c r="J34" s="1">
        <f t="shared" si="29"/>
        <v>0.48</v>
      </c>
      <c r="K34" s="1">
        <f t="shared" si="30"/>
        <v>0.53</v>
      </c>
      <c r="L34" s="1">
        <f t="shared" si="31"/>
        <v>0.53</v>
      </c>
    </row>
    <row r="35" spans="2:13" x14ac:dyDescent="0.25">
      <c r="B35" s="1">
        <f t="shared" si="20"/>
        <v>0.92999999999999994</v>
      </c>
      <c r="C35" s="1">
        <f t="shared" si="22"/>
        <v>0.93000000000000016</v>
      </c>
      <c r="D35" s="1">
        <f t="shared" si="23"/>
        <v>0.88000000000000012</v>
      </c>
      <c r="E35" s="1">
        <f t="shared" si="24"/>
        <v>0.83</v>
      </c>
      <c r="F35" s="1">
        <f t="shared" si="25"/>
        <v>0.68</v>
      </c>
      <c r="G35" s="1">
        <f t="shared" si="26"/>
        <v>0.58000000000000007</v>
      </c>
      <c r="H35" s="1">
        <f t="shared" si="27"/>
        <v>0.53</v>
      </c>
      <c r="I35" s="1">
        <f t="shared" si="28"/>
        <v>0.48</v>
      </c>
      <c r="J35" s="1">
        <f t="shared" si="29"/>
        <v>0.48</v>
      </c>
      <c r="K35" s="1">
        <f t="shared" si="30"/>
        <v>0.53</v>
      </c>
      <c r="L35" s="1">
        <f t="shared" si="31"/>
        <v>0.53</v>
      </c>
    </row>
    <row r="36" spans="2:13" x14ac:dyDescent="0.25">
      <c r="B36" s="1">
        <f t="shared" si="20"/>
        <v>0.92999999999999994</v>
      </c>
      <c r="C36" s="1">
        <f t="shared" si="22"/>
        <v>0.93000000000000016</v>
      </c>
      <c r="D36" s="1">
        <f t="shared" si="23"/>
        <v>0.88000000000000012</v>
      </c>
      <c r="E36" s="1">
        <f t="shared" si="24"/>
        <v>0.83</v>
      </c>
      <c r="F36" s="1">
        <f t="shared" si="25"/>
        <v>0.68</v>
      </c>
      <c r="G36" s="1">
        <f t="shared" si="26"/>
        <v>0.58000000000000007</v>
      </c>
      <c r="H36" s="1">
        <f t="shared" si="27"/>
        <v>0.53</v>
      </c>
      <c r="I36" s="1">
        <f t="shared" si="28"/>
        <v>0.53</v>
      </c>
      <c r="J36" s="1">
        <f t="shared" si="29"/>
        <v>0.57999999999999996</v>
      </c>
      <c r="K36" s="1">
        <f t="shared" si="30"/>
        <v>0.63</v>
      </c>
      <c r="L36" s="1">
        <f t="shared" si="31"/>
        <v>0.63</v>
      </c>
    </row>
    <row r="37" spans="2:13" x14ac:dyDescent="0.25">
      <c r="B37" s="1">
        <f t="shared" si="20"/>
        <v>0.92999999999999994</v>
      </c>
      <c r="C37" s="1">
        <f t="shared" si="22"/>
        <v>0.93000000000000016</v>
      </c>
      <c r="D37" s="1">
        <f t="shared" si="23"/>
        <v>0.88000000000000012</v>
      </c>
      <c r="E37" s="1">
        <f t="shared" si="24"/>
        <v>0.83</v>
      </c>
      <c r="F37" s="1">
        <f t="shared" si="25"/>
        <v>0.73000000000000009</v>
      </c>
      <c r="G37" s="1">
        <f t="shared" si="26"/>
        <v>0.68</v>
      </c>
      <c r="H37" s="1">
        <f t="shared" si="27"/>
        <v>0.63</v>
      </c>
      <c r="I37" s="1">
        <f t="shared" si="28"/>
        <v>0.63</v>
      </c>
      <c r="J37" s="1">
        <f t="shared" si="29"/>
        <v>0.67999999999999994</v>
      </c>
      <c r="K37" s="1">
        <f t="shared" si="30"/>
        <v>0.73</v>
      </c>
      <c r="L37" s="1">
        <f t="shared" si="31"/>
        <v>0.73</v>
      </c>
    </row>
    <row r="38" spans="2:13" x14ac:dyDescent="0.25">
      <c r="B38" s="1">
        <f t="shared" si="20"/>
        <v>1</v>
      </c>
      <c r="C38" s="1">
        <f t="shared" si="22"/>
        <v>1.0000000000000002</v>
      </c>
      <c r="D38" s="1">
        <f t="shared" si="23"/>
        <v>0.95000000000000018</v>
      </c>
      <c r="E38" s="1">
        <f t="shared" si="24"/>
        <v>0.89999999999999991</v>
      </c>
      <c r="F38" s="1">
        <f t="shared" si="25"/>
        <v>0.8</v>
      </c>
      <c r="G38" s="1">
        <f t="shared" si="26"/>
        <v>0.75</v>
      </c>
      <c r="H38" s="1">
        <f t="shared" si="27"/>
        <v>0.7</v>
      </c>
      <c r="I38" s="1">
        <f t="shared" si="28"/>
        <v>0.7</v>
      </c>
      <c r="J38" s="1">
        <f t="shared" si="29"/>
        <v>0.75</v>
      </c>
      <c r="K38" s="1">
        <f t="shared" si="30"/>
        <v>0.8</v>
      </c>
      <c r="L38" s="1">
        <f t="shared" si="31"/>
        <v>0.8</v>
      </c>
    </row>
    <row r="39" spans="2:13" x14ac:dyDescent="0.25">
      <c r="B39" s="1">
        <f t="shared" si="20"/>
        <v>1</v>
      </c>
      <c r="C39" s="1">
        <f t="shared" si="22"/>
        <v>1.0000000000000002</v>
      </c>
      <c r="D39" s="1">
        <f t="shared" si="23"/>
        <v>1.0000000000000002</v>
      </c>
      <c r="E39" s="1">
        <f t="shared" si="24"/>
        <v>0.99999999999999989</v>
      </c>
      <c r="F39" s="1">
        <f t="shared" si="25"/>
        <v>0.9</v>
      </c>
      <c r="G39" s="1">
        <f t="shared" si="26"/>
        <v>0.8</v>
      </c>
      <c r="H39" s="1">
        <f t="shared" si="27"/>
        <v>0.75</v>
      </c>
      <c r="I39" s="1">
        <f t="shared" si="28"/>
        <v>0.75</v>
      </c>
      <c r="J39" s="1">
        <f t="shared" si="29"/>
        <v>0.75</v>
      </c>
      <c r="K39" s="1">
        <f t="shared" si="30"/>
        <v>0.8</v>
      </c>
      <c r="L39" s="1">
        <f t="shared" si="31"/>
        <v>0.8</v>
      </c>
    </row>
    <row r="40" spans="2:13" x14ac:dyDescent="0.25">
      <c r="B40" s="1">
        <f t="shared" si="20"/>
        <v>1</v>
      </c>
      <c r="C40" s="1">
        <f t="shared" si="22"/>
        <v>1.0000000000000002</v>
      </c>
      <c r="D40" s="1">
        <f t="shared" si="23"/>
        <v>1.0000000000000002</v>
      </c>
      <c r="E40" s="1">
        <f t="shared" si="24"/>
        <v>0.99999999999999989</v>
      </c>
      <c r="F40" s="1">
        <f t="shared" si="25"/>
        <v>1</v>
      </c>
      <c r="G40" s="1">
        <f t="shared" si="26"/>
        <v>0.9</v>
      </c>
      <c r="H40" s="1">
        <f t="shared" si="27"/>
        <v>0.85</v>
      </c>
      <c r="I40" s="1">
        <f t="shared" si="28"/>
        <v>0.8</v>
      </c>
      <c r="J40" s="1">
        <f t="shared" si="29"/>
        <v>0.8</v>
      </c>
      <c r="K40" s="1">
        <f t="shared" si="30"/>
        <v>0.8</v>
      </c>
      <c r="L40" s="1">
        <f t="shared" si="31"/>
        <v>0.8</v>
      </c>
    </row>
    <row r="41" spans="2:13" x14ac:dyDescent="0.25">
      <c r="B41" s="1">
        <f t="shared" si="20"/>
        <v>1</v>
      </c>
      <c r="C41" s="1">
        <f t="shared" si="22"/>
        <v>1.0000000000000002</v>
      </c>
      <c r="D41" s="1">
        <f t="shared" si="23"/>
        <v>1.0000000000000002</v>
      </c>
      <c r="E41" s="1">
        <f t="shared" si="24"/>
        <v>0.99999999999999989</v>
      </c>
      <c r="F41" s="1">
        <f t="shared" si="25"/>
        <v>1</v>
      </c>
      <c r="G41" s="1">
        <f t="shared" si="26"/>
        <v>0.9</v>
      </c>
      <c r="H41" s="1">
        <f t="shared" si="27"/>
        <v>0.9</v>
      </c>
      <c r="I41" s="1">
        <f t="shared" si="28"/>
        <v>0.9</v>
      </c>
      <c r="J41" s="1">
        <f t="shared" si="29"/>
        <v>0.9</v>
      </c>
      <c r="K41" s="1">
        <f t="shared" si="30"/>
        <v>0.9</v>
      </c>
      <c r="L41" s="1">
        <f t="shared" si="31"/>
        <v>0.9</v>
      </c>
    </row>
    <row r="42" spans="2:13" x14ac:dyDescent="0.25">
      <c r="B42" s="1">
        <f t="shared" si="20"/>
        <v>1</v>
      </c>
      <c r="C42" s="1">
        <f t="shared" ref="C42:L42" si="32">C41+C19/100</f>
        <v>1.0000000000000002</v>
      </c>
      <c r="D42" s="1">
        <f t="shared" si="32"/>
        <v>1.0000000000000002</v>
      </c>
      <c r="E42" s="1">
        <f t="shared" si="32"/>
        <v>0.99999999999999989</v>
      </c>
      <c r="F42" s="1">
        <f t="shared" si="32"/>
        <v>1</v>
      </c>
      <c r="G42" s="1">
        <f t="shared" si="32"/>
        <v>1</v>
      </c>
      <c r="H42" s="1">
        <f t="shared" si="32"/>
        <v>1</v>
      </c>
      <c r="I42" s="1">
        <f t="shared" si="32"/>
        <v>1</v>
      </c>
      <c r="J42" s="1">
        <f t="shared" si="32"/>
        <v>1</v>
      </c>
      <c r="K42" s="1">
        <f t="shared" si="32"/>
        <v>1</v>
      </c>
      <c r="L42" s="1">
        <f t="shared" si="32"/>
        <v>1</v>
      </c>
    </row>
    <row r="43" spans="2:13" x14ac:dyDescent="0.25">
      <c r="B43" s="1" t="str">
        <f>"["&amp;B1&amp;","&amp;B2&amp;","&amp;B25&amp;","&amp;B26&amp;","&amp;B27&amp;","&amp;B28&amp;","&amp;B29&amp;","&amp;B30&amp;","&amp;B31&amp;","&amp;B32&amp;","&amp;B33&amp;","&amp;B34&amp;","&amp;B35&amp;","&amp;B36&amp;","&amp;B37&amp;","&amp;B38&amp;","&amp;B39&amp;","&amp;B40&amp;","&amp;B41&amp;","&amp;B42&amp;"]"</f>
        <v>[-100,5000,0,0.29,0.59,0.64,0.71,0.86,0.86,0.86,0.86,0.86,0.93,0.93,0.93,1,1,1,1,1]</v>
      </c>
      <c r="C43" s="1" t="str">
        <f t="shared" ref="C43:K43" si="33">"["&amp;C1&amp;","&amp;C2&amp;","&amp;C25&amp;","&amp;C26&amp;","&amp;C27&amp;","&amp;C28&amp;","&amp;C29&amp;","&amp;C30&amp;","&amp;C31&amp;","&amp;C32&amp;","&amp;C33&amp;","&amp;C34&amp;","&amp;C35&amp;","&amp;C36&amp;","&amp;C37&amp;","&amp;C38&amp;","&amp;C39&amp;","&amp;C40&amp;","&amp;C41&amp;","&amp;C42&amp;"]"</f>
        <v>[5000,10000,0,0.29,0.54,0.59,0.66,0.81,0.81,0.86,0.86,0.86,0.93,0.93,0.93,1,1,1,1,1]</v>
      </c>
      <c r="D43" s="1" t="str">
        <f t="shared" si="33"/>
        <v>[10000,15000,0,0.29,0.49,0.54,0.61,0.71,0.71,0.78,0.78,0.83,0.88,0.88,0.88,0.95,1,1,1,1]</v>
      </c>
      <c r="E43" s="1" t="str">
        <f t="shared" si="33"/>
        <v>[15000,20000,0,0.29,0.44,0.49,0.56,0.61,0.61,0.68,0.68,0.78,0.83,0.83,0.83,0.9,1,1,1,1]</v>
      </c>
      <c r="F43" s="1" t="str">
        <f t="shared" si="33"/>
        <v>[20000,25000,0,0.29,0.34,0.39,0.46,0.46,0.51,0.58,0.58,0.68,0.68,0.68,0.73,0.8,0.9,1,1,1]</v>
      </c>
      <c r="G43" s="1" t="str">
        <f t="shared" si="33"/>
        <v>[25000,30000,0,0.29,0.29,0.34,0.41,0.41,0.46,0.46,0.51,0.58,0.58,0.58,0.68,0.75,0.8,0.9,0.9,1]</v>
      </c>
      <c r="H43" s="1" t="str">
        <f t="shared" si="33"/>
        <v>[30000,35000,0,0.24,0.24,0.29,0.36,0.36,0.41,0.41,0.46,0.53,0.53,0.53,0.63,0.7,0.75,0.85,0.9,1]</v>
      </c>
      <c r="I43" s="1" t="str">
        <f t="shared" si="33"/>
        <v>[35000,40000,0,0.19,0.19,0.24,0.31,0.31,0.36,0.36,0.41,0.48,0.48,0.53,0.63,0.7,0.75,0.8,0.9,1]</v>
      </c>
      <c r="J43" s="1" t="str">
        <f t="shared" si="33"/>
        <v>[40000,45000,0,0.19,0.19,0.24,0.31,0.31,0.36,0.36,0.41,0.48,0.48,0.58,0.68,0.75,0.75,0.8,0.9,1]</v>
      </c>
      <c r="K43" s="1" t="str">
        <f t="shared" si="33"/>
        <v>[45000,50000,0,0.19,0.19,0.24,0.31,0.31,0.36,0.36,0.46,0.53,0.53,0.63,0.73,0.8,0.8,0.8,0.9,1]</v>
      </c>
      <c r="L43" s="1" t="str">
        <f>"["&amp;L1&amp;","&amp;L2&amp;","&amp;L25&amp;","&amp;L26&amp;","&amp;L27&amp;","&amp;L28&amp;","&amp;L29&amp;","&amp;L30&amp;","&amp;L31&amp;","&amp;L32&amp;","&amp;L33&amp;","&amp;L34&amp;","&amp;L35&amp;","&amp;L36&amp;","&amp;L37&amp;","&amp;L38&amp;","&amp;L39&amp;","&amp;L40&amp;","&amp;L41&amp;","&amp;L42&amp;"]"</f>
        <v>[50000,999999,0,0.19,0.19,0.24,0.31,0.31,0.36,0.36,0.46,0.53,0.53,0.63,0.73,0.8,0.8,0.8,0.9,1]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E15"/>
  <sheetViews>
    <sheetView workbookViewId="0">
      <selection activeCell="D23" sqref="D23"/>
    </sheetView>
  </sheetViews>
  <sheetFormatPr defaultRowHeight="15" x14ac:dyDescent="0.25"/>
  <sheetData>
    <row r="2" spans="2:5" x14ac:dyDescent="0.25">
      <c r="B2">
        <v>1</v>
      </c>
      <c r="C2">
        <v>3</v>
      </c>
      <c r="E2" t="str">
        <f>"["&amp;C2&amp;","</f>
        <v>[3,</v>
      </c>
    </row>
    <row r="3" spans="2:5" x14ac:dyDescent="0.25">
      <c r="B3">
        <v>2</v>
      </c>
      <c r="C3">
        <f>C2+1</f>
        <v>4</v>
      </c>
      <c r="E3" t="str">
        <f>C3&amp;","</f>
        <v>4,</v>
      </c>
    </row>
    <row r="4" spans="2:5" x14ac:dyDescent="0.25">
      <c r="B4">
        <v>3</v>
      </c>
      <c r="C4">
        <f t="shared" ref="C4:C14" si="0">C3+1</f>
        <v>5</v>
      </c>
      <c r="E4" t="str">
        <f t="shared" ref="E4:E13" si="1">C4&amp;","</f>
        <v>5,</v>
      </c>
    </row>
    <row r="5" spans="2:5" x14ac:dyDescent="0.25">
      <c r="B5">
        <v>4</v>
      </c>
      <c r="C5">
        <f t="shared" si="0"/>
        <v>6</v>
      </c>
      <c r="E5" t="str">
        <f t="shared" si="1"/>
        <v>6,</v>
      </c>
    </row>
    <row r="6" spans="2:5" x14ac:dyDescent="0.25">
      <c r="B6">
        <v>5</v>
      </c>
      <c r="C6">
        <f t="shared" si="0"/>
        <v>7</v>
      </c>
      <c r="E6" t="str">
        <f t="shared" si="1"/>
        <v>7,</v>
      </c>
    </row>
    <row r="7" spans="2:5" x14ac:dyDescent="0.25">
      <c r="B7">
        <v>6</v>
      </c>
      <c r="C7">
        <f t="shared" si="0"/>
        <v>8</v>
      </c>
      <c r="E7" t="str">
        <f t="shared" si="1"/>
        <v>8,</v>
      </c>
    </row>
    <row r="8" spans="2:5" x14ac:dyDescent="0.25">
      <c r="B8">
        <v>7</v>
      </c>
      <c r="C8">
        <f t="shared" si="0"/>
        <v>9</v>
      </c>
      <c r="E8" t="str">
        <f t="shared" si="1"/>
        <v>9,</v>
      </c>
    </row>
    <row r="9" spans="2:5" x14ac:dyDescent="0.25">
      <c r="B9">
        <v>8</v>
      </c>
      <c r="C9">
        <f t="shared" si="0"/>
        <v>10</v>
      </c>
      <c r="E9" t="str">
        <f t="shared" si="1"/>
        <v>10,</v>
      </c>
    </row>
    <row r="10" spans="2:5" x14ac:dyDescent="0.25">
      <c r="B10">
        <v>9</v>
      </c>
      <c r="C10">
        <f t="shared" si="0"/>
        <v>11</v>
      </c>
      <c r="E10" t="str">
        <f t="shared" si="1"/>
        <v>11,</v>
      </c>
    </row>
    <row r="11" spans="2:5" x14ac:dyDescent="0.25">
      <c r="B11">
        <v>10</v>
      </c>
      <c r="C11">
        <f t="shared" si="0"/>
        <v>12</v>
      </c>
      <c r="E11" t="str">
        <f t="shared" si="1"/>
        <v>12,</v>
      </c>
    </row>
    <row r="12" spans="2:5" x14ac:dyDescent="0.25">
      <c r="B12">
        <v>11</v>
      </c>
      <c r="C12">
        <f t="shared" si="0"/>
        <v>13</v>
      </c>
      <c r="E12" t="str">
        <f t="shared" si="1"/>
        <v>13,</v>
      </c>
    </row>
    <row r="13" spans="2:5" x14ac:dyDescent="0.25">
      <c r="B13">
        <v>12</v>
      </c>
      <c r="C13">
        <f t="shared" si="0"/>
        <v>14</v>
      </c>
      <c r="E13" t="str">
        <f t="shared" si="1"/>
        <v>14,</v>
      </c>
    </row>
    <row r="14" spans="2:5" x14ac:dyDescent="0.25">
      <c r="B14">
        <v>13</v>
      </c>
      <c r="C14">
        <f t="shared" si="0"/>
        <v>15</v>
      </c>
      <c r="E14" t="str">
        <f>C14&amp;"]"</f>
        <v>15]</v>
      </c>
    </row>
    <row r="15" spans="2:5" x14ac:dyDescent="0.25">
      <c r="E15" t="str">
        <f>CONCATENATE(E2,E3,E4,E5,E6,E7,E8,E9,E10,E11,E12,E13,E14)</f>
        <v>[3,4,5,6,7,8,9,10,11,12,13,14,15]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G17"/>
  <sheetViews>
    <sheetView workbookViewId="0">
      <selection activeCell="G9" sqref="G9"/>
    </sheetView>
  </sheetViews>
  <sheetFormatPr defaultRowHeight="15" x14ac:dyDescent="0.25"/>
  <cols>
    <col min="7" max="7" width="31.140625" customWidth="1"/>
  </cols>
  <sheetData>
    <row r="2" spans="2:7" x14ac:dyDescent="0.25">
      <c r="C2" t="s">
        <v>40</v>
      </c>
      <c r="D2" t="s">
        <v>41</v>
      </c>
      <c r="E2" t="s">
        <v>42</v>
      </c>
      <c r="F2" t="s">
        <v>43</v>
      </c>
    </row>
    <row r="3" spans="2:7" x14ac:dyDescent="0.25">
      <c r="B3">
        <v>0</v>
      </c>
      <c r="C3">
        <v>20</v>
      </c>
      <c r="D3">
        <v>100</v>
      </c>
      <c r="E3">
        <v>5.0000000000000001E-3</v>
      </c>
      <c r="F3" s="11">
        <v>8</v>
      </c>
      <c r="G3" t="str">
        <f>"[["&amp;C3&amp;","&amp;D3&amp;","&amp;E3&amp;","&amp;ROUND(F3,5)&amp;"],"</f>
        <v>[[20,100,0.005,8],</v>
      </c>
    </row>
    <row r="4" spans="2:7" x14ac:dyDescent="0.25">
      <c r="B4">
        <v>1</v>
      </c>
      <c r="C4">
        <f>C3+2</f>
        <v>22</v>
      </c>
      <c r="D4">
        <f>D3-10</f>
        <v>90</v>
      </c>
      <c r="E4">
        <f>E3+0.001</f>
        <v>6.0000000000000001E-3</v>
      </c>
      <c r="F4" s="11">
        <f>F3+0.2</f>
        <v>8.1999999999999993</v>
      </c>
      <c r="G4" t="str">
        <f>"["&amp;C4&amp;","&amp;D4&amp;","&amp;E4&amp;","&amp;ROUND(F4,5)&amp;"],"</f>
        <v>[22,90,0.006,8.2],</v>
      </c>
    </row>
    <row r="5" spans="2:7" x14ac:dyDescent="0.25">
      <c r="B5">
        <v>2</v>
      </c>
      <c r="C5">
        <f t="shared" ref="C5:C16" si="0">C4+2</f>
        <v>24</v>
      </c>
      <c r="D5">
        <f t="shared" ref="D5:D12" si="1">D4-10</f>
        <v>80</v>
      </c>
      <c r="E5">
        <f t="shared" ref="E5:E15" si="2">E4+0.001</f>
        <v>7.0000000000000001E-3</v>
      </c>
      <c r="F5" s="11">
        <f t="shared" ref="F5:F15" si="3">F4+0.2</f>
        <v>8.3999999999999986</v>
      </c>
      <c r="G5" t="str">
        <f t="shared" ref="G5:G15" si="4">"["&amp;C5&amp;","&amp;D5&amp;","&amp;E5&amp;","&amp;ROUND(F5,5)&amp;"],"</f>
        <v>[24,80,0.007,8.4],</v>
      </c>
    </row>
    <row r="6" spans="2:7" x14ac:dyDescent="0.25">
      <c r="B6">
        <v>3</v>
      </c>
      <c r="C6">
        <f t="shared" si="0"/>
        <v>26</v>
      </c>
      <c r="D6">
        <f t="shared" si="1"/>
        <v>70</v>
      </c>
      <c r="E6">
        <f t="shared" si="2"/>
        <v>8.0000000000000002E-3</v>
      </c>
      <c r="F6" s="11">
        <f t="shared" si="3"/>
        <v>8.5999999999999979</v>
      </c>
      <c r="G6" t="str">
        <f t="shared" si="4"/>
        <v>[26,70,0.008,8.6],</v>
      </c>
    </row>
    <row r="7" spans="2:7" x14ac:dyDescent="0.25">
      <c r="B7">
        <v>4</v>
      </c>
      <c r="C7">
        <f t="shared" si="0"/>
        <v>28</v>
      </c>
      <c r="D7">
        <f t="shared" si="1"/>
        <v>60</v>
      </c>
      <c r="E7">
        <f t="shared" si="2"/>
        <v>9.0000000000000011E-3</v>
      </c>
      <c r="F7" s="11">
        <f t="shared" si="3"/>
        <v>8.7999999999999972</v>
      </c>
      <c r="G7" t="str">
        <f t="shared" si="4"/>
        <v>[28,60,0.009,8.8],</v>
      </c>
    </row>
    <row r="8" spans="2:7" x14ac:dyDescent="0.25">
      <c r="B8">
        <v>5</v>
      </c>
      <c r="C8">
        <f t="shared" si="0"/>
        <v>30</v>
      </c>
      <c r="D8">
        <f t="shared" si="1"/>
        <v>50</v>
      </c>
      <c r="E8">
        <f t="shared" si="2"/>
        <v>1.0000000000000002E-2</v>
      </c>
      <c r="F8" s="11">
        <f t="shared" si="3"/>
        <v>8.9999999999999964</v>
      </c>
      <c r="G8" t="str">
        <f t="shared" si="4"/>
        <v>[30,50,0.01,9],</v>
      </c>
    </row>
    <row r="9" spans="2:7" x14ac:dyDescent="0.25">
      <c r="B9">
        <v>6</v>
      </c>
      <c r="C9">
        <f t="shared" si="0"/>
        <v>32</v>
      </c>
      <c r="D9">
        <f t="shared" si="1"/>
        <v>40</v>
      </c>
      <c r="E9">
        <f t="shared" si="2"/>
        <v>1.1000000000000003E-2</v>
      </c>
      <c r="F9" s="11">
        <f t="shared" si="3"/>
        <v>9.1999999999999957</v>
      </c>
      <c r="G9" t="str">
        <f t="shared" si="4"/>
        <v>[32,40,0.011,9.2],</v>
      </c>
    </row>
    <row r="10" spans="2:7" x14ac:dyDescent="0.25">
      <c r="B10">
        <v>7</v>
      </c>
      <c r="C10">
        <f t="shared" si="0"/>
        <v>34</v>
      </c>
      <c r="D10">
        <f t="shared" si="1"/>
        <v>30</v>
      </c>
      <c r="E10">
        <f t="shared" si="2"/>
        <v>1.2000000000000004E-2</v>
      </c>
      <c r="F10" s="11">
        <f t="shared" si="3"/>
        <v>9.399999999999995</v>
      </c>
      <c r="G10" t="str">
        <f t="shared" si="4"/>
        <v>[34,30,0.012,9.4],</v>
      </c>
    </row>
    <row r="11" spans="2:7" x14ac:dyDescent="0.25">
      <c r="B11">
        <v>8</v>
      </c>
      <c r="C11">
        <f t="shared" si="0"/>
        <v>36</v>
      </c>
      <c r="D11">
        <f t="shared" si="1"/>
        <v>20</v>
      </c>
      <c r="E11">
        <f t="shared" si="2"/>
        <v>1.3000000000000005E-2</v>
      </c>
      <c r="F11" s="11">
        <f>F10+0.2</f>
        <v>9.5999999999999943</v>
      </c>
      <c r="G11" t="str">
        <f t="shared" si="4"/>
        <v>[36,20,0.013,9.6],</v>
      </c>
    </row>
    <row r="12" spans="2:7" x14ac:dyDescent="0.25">
      <c r="B12">
        <v>9</v>
      </c>
      <c r="C12">
        <f t="shared" si="0"/>
        <v>38</v>
      </c>
      <c r="D12">
        <f t="shared" si="1"/>
        <v>10</v>
      </c>
      <c r="E12">
        <f t="shared" si="2"/>
        <v>1.4000000000000005E-2</v>
      </c>
      <c r="F12" s="11">
        <f t="shared" si="3"/>
        <v>9.7999999999999936</v>
      </c>
      <c r="G12" t="str">
        <f t="shared" si="4"/>
        <v>[38,10,0.014,9.8],</v>
      </c>
    </row>
    <row r="13" spans="2:7" x14ac:dyDescent="0.25">
      <c r="B13">
        <v>10</v>
      </c>
      <c r="C13">
        <f t="shared" si="0"/>
        <v>40</v>
      </c>
      <c r="D13">
        <v>10</v>
      </c>
      <c r="E13">
        <f t="shared" si="2"/>
        <v>1.5000000000000006E-2</v>
      </c>
      <c r="F13" s="11">
        <f t="shared" si="3"/>
        <v>9.9999999999999929</v>
      </c>
      <c r="G13" t="str">
        <f t="shared" si="4"/>
        <v>[40,10,0.015,10],</v>
      </c>
    </row>
    <row r="14" spans="2:7" x14ac:dyDescent="0.25">
      <c r="B14">
        <v>11</v>
      </c>
      <c r="C14">
        <f t="shared" si="0"/>
        <v>42</v>
      </c>
      <c r="D14">
        <v>10</v>
      </c>
      <c r="E14">
        <f t="shared" si="2"/>
        <v>1.6000000000000007E-2</v>
      </c>
      <c r="F14" s="11">
        <f t="shared" si="3"/>
        <v>10.199999999999992</v>
      </c>
      <c r="G14" t="str">
        <f t="shared" si="4"/>
        <v>[42,10,0.016,10.2],</v>
      </c>
    </row>
    <row r="15" spans="2:7" x14ac:dyDescent="0.25">
      <c r="B15">
        <v>12</v>
      </c>
      <c r="C15">
        <f t="shared" si="0"/>
        <v>44</v>
      </c>
      <c r="D15">
        <v>10</v>
      </c>
      <c r="E15">
        <f t="shared" si="2"/>
        <v>1.7000000000000008E-2</v>
      </c>
      <c r="F15" s="11">
        <f t="shared" si="3"/>
        <v>10.399999999999991</v>
      </c>
      <c r="G15" t="str">
        <f t="shared" si="4"/>
        <v>[44,10,0.017,10.4],</v>
      </c>
    </row>
    <row r="16" spans="2:7" x14ac:dyDescent="0.25">
      <c r="B16">
        <v>13</v>
      </c>
      <c r="C16">
        <f t="shared" si="0"/>
        <v>46</v>
      </c>
      <c r="D16">
        <v>10</v>
      </c>
      <c r="E16">
        <f t="shared" ref="E16" si="5">E15+0.001</f>
        <v>1.8000000000000009E-2</v>
      </c>
      <c r="F16" s="11">
        <f t="shared" ref="F16" si="6">F15+0.2</f>
        <v>10.599999999999991</v>
      </c>
      <c r="G16" t="str">
        <f>"["&amp;C16&amp;","&amp;D16&amp;","&amp;E16&amp;","&amp;ROUND(F16,5)&amp;"]]"</f>
        <v>[46,10,0.018,10.6]]</v>
      </c>
    </row>
    <row r="17" spans="7:7" x14ac:dyDescent="0.25">
      <c r="G17" t="str">
        <f>CONCATENATE(G3,G4,G5,G6,G7,G8,G9,G10,G11,G12,G13,G14,G15,G16)</f>
        <v>[[20,100,0.005,8],[22,90,0.006,8.2],[24,80,0.007,8.4],[26,70,0.008,8.6],[28,60,0.009,8.8],[30,50,0.01,9],[32,40,0.011,9.2],[34,30,0.012,9.4],[36,20,0.013,9.6],[38,10,0.014,9.8],[40,10,0.015,10],[42,10,0.016,10.2],[44,10,0.017,10.4],[46,10,0.018,10.6]]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bcg_objects</vt:lpstr>
      <vt:lpstr>prob_table</vt:lpstr>
      <vt:lpstr>upgrades_price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2019-04-19T14:54:26Z</dcterms:modified>
</cp:coreProperties>
</file>