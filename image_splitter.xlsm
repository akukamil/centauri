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Kamil_A\Desktop\centauri\"/>
    </mc:Choice>
  </mc:AlternateContent>
  <bookViews>
    <workbookView xWindow="0" yWindow="0" windowWidth="28770" windowHeight="14070"/>
  </bookViews>
  <sheets>
    <sheet name="Лист1" sheetId="1" r:id="rId1"/>
    <sheet name="Лист2" sheetId="2" r:id="rId2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1" i="1" l="1"/>
  <c r="C141" i="1"/>
  <c r="D141" i="1"/>
  <c r="B141" i="1"/>
  <c r="E140" i="1"/>
  <c r="D140" i="1"/>
  <c r="E139" i="1"/>
  <c r="C139" i="1"/>
  <c r="H139" i="1"/>
  <c r="E115" i="1"/>
  <c r="E116" i="1" s="1"/>
  <c r="D115" i="1"/>
  <c r="D116" i="1" s="1"/>
  <c r="C115" i="1"/>
  <c r="C116" i="1" s="1"/>
  <c r="B115" i="1"/>
  <c r="B116" i="1" s="1"/>
  <c r="H114" i="1"/>
  <c r="E112" i="1"/>
  <c r="E113" i="1"/>
  <c r="C112" i="1"/>
  <c r="C113" i="1" s="1"/>
  <c r="D112" i="1"/>
  <c r="D113" i="1" s="1"/>
  <c r="B112" i="1"/>
  <c r="B113" i="1" s="1"/>
  <c r="E125" i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C125" i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H141" i="1" l="1"/>
  <c r="H140" i="1"/>
  <c r="H116" i="1"/>
  <c r="H115" i="1"/>
  <c r="C122" i="1"/>
  <c r="E121" i="1"/>
  <c r="E122" i="1" s="1"/>
  <c r="D121" i="1"/>
  <c r="C10" i="2"/>
  <c r="D122" i="1" l="1"/>
  <c r="C120" i="1"/>
  <c r="B120" i="1"/>
  <c r="E119" i="1"/>
  <c r="E120" i="1" s="1"/>
  <c r="D119" i="1"/>
  <c r="D120" i="1" s="1"/>
  <c r="C118" i="1"/>
  <c r="E117" i="1"/>
  <c r="E118" i="1" s="1"/>
  <c r="D117" i="1"/>
  <c r="D118" i="1" s="1"/>
  <c r="B111" i="1" l="1"/>
  <c r="C111" i="1"/>
  <c r="E110" i="1"/>
  <c r="E111" i="1" s="1"/>
  <c r="D110" i="1"/>
  <c r="D111" i="1" s="1"/>
  <c r="E102" i="1" l="1"/>
  <c r="E103" i="1" s="1"/>
  <c r="E104" i="1" s="1"/>
  <c r="E105" i="1" s="1"/>
  <c r="E106" i="1" s="1"/>
  <c r="E107" i="1" s="1"/>
  <c r="E108" i="1" s="1"/>
  <c r="C102" i="1"/>
  <c r="C103" i="1" s="1"/>
  <c r="E94" i="1"/>
  <c r="E95" i="1" s="1"/>
  <c r="E96" i="1" s="1"/>
  <c r="E97" i="1" s="1"/>
  <c r="E98" i="1" s="1"/>
  <c r="E99" i="1" s="1"/>
  <c r="E100" i="1" s="1"/>
  <c r="C94" i="1"/>
  <c r="C95" i="1" s="1"/>
  <c r="C96" i="1" s="1"/>
  <c r="C97" i="1" s="1"/>
  <c r="C98" i="1" s="1"/>
  <c r="C99" i="1" s="1"/>
  <c r="C100" i="1" s="1"/>
  <c r="C104" i="1" l="1"/>
  <c r="C105" i="1" s="1"/>
  <c r="C106" i="1" l="1"/>
  <c r="C67" i="1"/>
  <c r="E67" i="1" s="1"/>
  <c r="B67" i="1"/>
  <c r="D67" i="1" s="1"/>
  <c r="E66" i="1"/>
  <c r="D66" i="1"/>
  <c r="B53" i="1"/>
  <c r="D53" i="1" s="1"/>
  <c r="E52" i="1"/>
  <c r="D52" i="1"/>
  <c r="C53" i="1"/>
  <c r="E53" i="1" s="1"/>
  <c r="C68" i="1" l="1"/>
  <c r="E68" i="1" s="1"/>
  <c r="B68" i="1"/>
  <c r="B69" i="1" s="1"/>
  <c r="B70" i="1" s="1"/>
  <c r="B54" i="1"/>
  <c r="C107" i="1"/>
  <c r="C54" i="1"/>
  <c r="E54" i="1" s="1"/>
  <c r="E38" i="1"/>
  <c r="D38" i="1"/>
  <c r="C39" i="1"/>
  <c r="E39" i="1" s="1"/>
  <c r="B39" i="1"/>
  <c r="D39" i="1" s="1"/>
  <c r="B25" i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E24" i="1"/>
  <c r="D24" i="1"/>
  <c r="C25" i="1"/>
  <c r="E25" i="1" s="1"/>
  <c r="B11" i="1"/>
  <c r="D11" i="1" s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D10" i="1"/>
  <c r="C69" i="1" l="1"/>
  <c r="E69" i="1" s="1"/>
  <c r="C40" i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E51" i="1" s="1"/>
  <c r="D68" i="1"/>
  <c r="D69" i="1"/>
  <c r="C26" i="1"/>
  <c r="B40" i="1"/>
  <c r="B55" i="1"/>
  <c r="D54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D25" i="1"/>
  <c r="C108" i="1"/>
  <c r="B71" i="1"/>
  <c r="D70" i="1"/>
  <c r="C55" i="1"/>
  <c r="E55" i="1" s="1"/>
  <c r="D90" i="1"/>
  <c r="E89" i="1"/>
  <c r="D89" i="1"/>
  <c r="D88" i="1"/>
  <c r="E87" i="1"/>
  <c r="D87" i="1"/>
  <c r="E47" i="1" l="1"/>
  <c r="E44" i="1"/>
  <c r="E41" i="1"/>
  <c r="E49" i="1"/>
  <c r="E46" i="1"/>
  <c r="E42" i="1"/>
  <c r="E43" i="1"/>
  <c r="E40" i="1"/>
  <c r="E48" i="1"/>
  <c r="E50" i="1"/>
  <c r="C70" i="1"/>
  <c r="E45" i="1"/>
  <c r="B56" i="1"/>
  <c r="D55" i="1"/>
  <c r="D40" i="1"/>
  <c r="B41" i="1"/>
  <c r="C27" i="1"/>
  <c r="E26" i="1"/>
  <c r="D71" i="1"/>
  <c r="B72" i="1"/>
  <c r="E70" i="1"/>
  <c r="C71" i="1"/>
  <c r="C56" i="1"/>
  <c r="E56" i="1" s="1"/>
  <c r="C11" i="2"/>
  <c r="D86" i="1"/>
  <c r="E85" i="1"/>
  <c r="D85" i="1"/>
  <c r="B42" i="1" l="1"/>
  <c r="D41" i="1"/>
  <c r="C28" i="1"/>
  <c r="E27" i="1"/>
  <c r="B57" i="1"/>
  <c r="D56" i="1"/>
  <c r="E71" i="1"/>
  <c r="C72" i="1"/>
  <c r="B73" i="1"/>
  <c r="D72" i="1"/>
  <c r="C57" i="1"/>
  <c r="E57" i="1" s="1"/>
  <c r="D10" i="2"/>
  <c r="H1" i="1" s="1"/>
  <c r="H112" i="1" l="1"/>
  <c r="H113" i="1"/>
  <c r="H133" i="1"/>
  <c r="H125" i="1"/>
  <c r="H132" i="1"/>
  <c r="H131" i="1"/>
  <c r="H138" i="1"/>
  <c r="H130" i="1"/>
  <c r="H137" i="1"/>
  <c r="H129" i="1"/>
  <c r="H136" i="1"/>
  <c r="H128" i="1"/>
  <c r="H124" i="1"/>
  <c r="H135" i="1"/>
  <c r="H127" i="1"/>
  <c r="H134" i="1"/>
  <c r="H126" i="1"/>
  <c r="H123" i="1"/>
  <c r="H117" i="1"/>
  <c r="H119" i="1"/>
  <c r="H121" i="1"/>
  <c r="H120" i="1"/>
  <c r="H122" i="1"/>
  <c r="H118" i="1"/>
  <c r="H111" i="1"/>
  <c r="H109" i="1"/>
  <c r="H110" i="1"/>
  <c r="H101" i="1"/>
  <c r="H102" i="1"/>
  <c r="H103" i="1"/>
  <c r="H104" i="1"/>
  <c r="H105" i="1"/>
  <c r="H106" i="1"/>
  <c r="H107" i="1"/>
  <c r="H108" i="1"/>
  <c r="C29" i="1"/>
  <c r="E28" i="1"/>
  <c r="B58" i="1"/>
  <c r="D57" i="1"/>
  <c r="H57" i="1" s="1"/>
  <c r="B43" i="1"/>
  <c r="D42" i="1"/>
  <c r="H96" i="1"/>
  <c r="H95" i="1"/>
  <c r="H93" i="1"/>
  <c r="H94" i="1"/>
  <c r="H97" i="1"/>
  <c r="H52" i="1"/>
  <c r="H66" i="1"/>
  <c r="H53" i="1"/>
  <c r="H98" i="1"/>
  <c r="H67" i="1"/>
  <c r="H68" i="1"/>
  <c r="H99" i="1"/>
  <c r="H54" i="1"/>
  <c r="H70" i="1"/>
  <c r="H69" i="1"/>
  <c r="H55" i="1"/>
  <c r="H100" i="1"/>
  <c r="H56" i="1"/>
  <c r="H71" i="1"/>
  <c r="D73" i="1"/>
  <c r="B74" i="1"/>
  <c r="E72" i="1"/>
  <c r="H72" i="1" s="1"/>
  <c r="C73" i="1"/>
  <c r="C58" i="1"/>
  <c r="E58" i="1" s="1"/>
  <c r="H92" i="1"/>
  <c r="H91" i="1"/>
  <c r="H88" i="1"/>
  <c r="H90" i="1"/>
  <c r="H89" i="1"/>
  <c r="H87" i="1"/>
  <c r="H85" i="1"/>
  <c r="H86" i="1"/>
  <c r="E80" i="1"/>
  <c r="D80" i="1"/>
  <c r="B59" i="1" l="1"/>
  <c r="D58" i="1"/>
  <c r="B44" i="1"/>
  <c r="D43" i="1"/>
  <c r="C30" i="1"/>
  <c r="E29" i="1"/>
  <c r="E73" i="1"/>
  <c r="H73" i="1" s="1"/>
  <c r="C74" i="1"/>
  <c r="D74" i="1"/>
  <c r="B75" i="1"/>
  <c r="C59" i="1"/>
  <c r="E59" i="1" s="1"/>
  <c r="H58" i="1"/>
  <c r="D11" i="2"/>
  <c r="H2" i="1" s="1"/>
  <c r="B45" i="1" l="1"/>
  <c r="D44" i="1"/>
  <c r="H44" i="1" s="1"/>
  <c r="C31" i="1"/>
  <c r="E30" i="1"/>
  <c r="B60" i="1"/>
  <c r="D59" i="1"/>
  <c r="H59" i="1" s="1"/>
  <c r="D75" i="1"/>
  <c r="B76" i="1"/>
  <c r="C75" i="1"/>
  <c r="E74" i="1"/>
  <c r="H74" i="1" s="1"/>
  <c r="C60" i="1"/>
  <c r="E60" i="1" s="1"/>
  <c r="D27" i="1"/>
  <c r="H27" i="1" s="1"/>
  <c r="D26" i="1"/>
  <c r="H26" i="1" s="1"/>
  <c r="D12" i="1"/>
  <c r="H38" i="1"/>
  <c r="H40" i="1"/>
  <c r="H39" i="1"/>
  <c r="H42" i="1"/>
  <c r="H41" i="1"/>
  <c r="H43" i="1"/>
  <c r="H24" i="1"/>
  <c r="H84" i="1"/>
  <c r="H83" i="1"/>
  <c r="H82" i="1"/>
  <c r="H81" i="1"/>
  <c r="H80" i="1"/>
  <c r="H25" i="1"/>
  <c r="D28" i="1"/>
  <c r="H9" i="1"/>
  <c r="C32" i="1" l="1"/>
  <c r="E31" i="1"/>
  <c r="B61" i="1"/>
  <c r="D60" i="1"/>
  <c r="H60" i="1" s="1"/>
  <c r="B46" i="1"/>
  <c r="D45" i="1"/>
  <c r="H45" i="1" s="1"/>
  <c r="E75" i="1"/>
  <c r="H75" i="1" s="1"/>
  <c r="C76" i="1"/>
  <c r="B77" i="1"/>
  <c r="D76" i="1"/>
  <c r="C61" i="1"/>
  <c r="E61" i="1" s="1"/>
  <c r="D13" i="1"/>
  <c r="D29" i="1"/>
  <c r="H28" i="1"/>
  <c r="H11" i="1"/>
  <c r="H10" i="1"/>
  <c r="B62" i="1" l="1"/>
  <c r="D61" i="1"/>
  <c r="H61" i="1" s="1"/>
  <c r="B47" i="1"/>
  <c r="D46" i="1"/>
  <c r="H46" i="1" s="1"/>
  <c r="C33" i="1"/>
  <c r="E32" i="1"/>
  <c r="D77" i="1"/>
  <c r="B78" i="1"/>
  <c r="E76" i="1"/>
  <c r="H76" i="1" s="1"/>
  <c r="C77" i="1"/>
  <c r="C62" i="1"/>
  <c r="E62" i="1" s="1"/>
  <c r="D14" i="1"/>
  <c r="H29" i="1"/>
  <c r="D30" i="1"/>
  <c r="H12" i="1"/>
  <c r="B48" i="1" l="1"/>
  <c r="D47" i="1"/>
  <c r="H47" i="1" s="1"/>
  <c r="C34" i="1"/>
  <c r="E33" i="1"/>
  <c r="B63" i="1"/>
  <c r="D62" i="1"/>
  <c r="H62" i="1" s="1"/>
  <c r="E77" i="1"/>
  <c r="H77" i="1" s="1"/>
  <c r="C78" i="1"/>
  <c r="B79" i="1"/>
  <c r="D79" i="1" s="1"/>
  <c r="D78" i="1"/>
  <c r="C63" i="1"/>
  <c r="E63" i="1" s="1"/>
  <c r="D15" i="1"/>
  <c r="D31" i="1"/>
  <c r="H30" i="1"/>
  <c r="H13" i="1"/>
  <c r="C35" i="1" l="1"/>
  <c r="E34" i="1"/>
  <c r="B64" i="1"/>
  <c r="D63" i="1"/>
  <c r="H63" i="1" s="1"/>
  <c r="B49" i="1"/>
  <c r="D48" i="1"/>
  <c r="H48" i="1" s="1"/>
  <c r="C79" i="1"/>
  <c r="E79" i="1" s="1"/>
  <c r="E78" i="1"/>
  <c r="H78" i="1" s="1"/>
  <c r="C64" i="1"/>
  <c r="E64" i="1" s="1"/>
  <c r="D16" i="1"/>
  <c r="H31" i="1"/>
  <c r="D32" i="1"/>
  <c r="H14" i="1"/>
  <c r="B65" i="1" l="1"/>
  <c r="D65" i="1" s="1"/>
  <c r="D64" i="1"/>
  <c r="H64" i="1" s="1"/>
  <c r="B50" i="1"/>
  <c r="D49" i="1"/>
  <c r="H49" i="1" s="1"/>
  <c r="C36" i="1"/>
  <c r="E35" i="1"/>
  <c r="H79" i="1"/>
  <c r="C65" i="1"/>
  <c r="E65" i="1" s="1"/>
  <c r="D17" i="1"/>
  <c r="D33" i="1"/>
  <c r="H32" i="1"/>
  <c r="H15" i="1"/>
  <c r="B51" i="1" l="1"/>
  <c r="D50" i="1"/>
  <c r="H50" i="1" s="1"/>
  <c r="C37" i="1"/>
  <c r="E37" i="1" s="1"/>
  <c r="E36" i="1"/>
  <c r="H65" i="1"/>
  <c r="D18" i="1"/>
  <c r="H33" i="1"/>
  <c r="D34" i="1"/>
  <c r="H16" i="1"/>
  <c r="D51" i="1" l="1"/>
  <c r="H51" i="1" s="1"/>
  <c r="D19" i="1"/>
  <c r="D35" i="1"/>
  <c r="H34" i="1"/>
  <c r="H17" i="1"/>
  <c r="D20" i="1" l="1"/>
  <c r="H35" i="1"/>
  <c r="D36" i="1"/>
  <c r="H18" i="1"/>
  <c r="D21" i="1" l="1"/>
  <c r="H36" i="1"/>
  <c r="H19" i="1"/>
  <c r="D6" i="1"/>
  <c r="H6" i="1" s="1"/>
  <c r="H8" i="1"/>
  <c r="H5" i="1"/>
  <c r="D37" i="1" l="1"/>
  <c r="H37" i="1" s="1"/>
  <c r="D23" i="1"/>
  <c r="D22" i="1"/>
  <c r="H20" i="1"/>
  <c r="E7" i="1"/>
  <c r="D7" i="1"/>
  <c r="H7" i="1" l="1"/>
  <c r="H21" i="1"/>
  <c r="H22" i="1" l="1"/>
  <c r="H23" i="1" l="1"/>
</calcChain>
</file>

<file path=xl/sharedStrings.xml><?xml version="1.0" encoding="utf-8"?>
<sst xmlns="http://schemas.openxmlformats.org/spreadsheetml/2006/main" count="290" uniqueCount="155">
  <si>
    <t>x0</t>
  </si>
  <si>
    <t>y0</t>
  </si>
  <si>
    <t>x1</t>
  </si>
  <si>
    <t>y1</t>
  </si>
  <si>
    <t>откуда</t>
  </si>
  <si>
    <t>куда</t>
  </si>
  <si>
    <t>папка с игрой</t>
  </si>
  <si>
    <t>путь к инкскейп</t>
  </si>
  <si>
    <t>logo.svg</t>
  </si>
  <si>
    <t>C:\Users\Kamil_A\Desktop\centauri\</t>
  </si>
  <si>
    <t>D:\inkscape\inkscape.com</t>
  </si>
  <si>
    <t>res\play_button.png</t>
  </si>
  <si>
    <t>res\play_button_h.png</t>
  </si>
  <si>
    <t>res\start_screen.png</t>
  </si>
  <si>
    <t>res\rocket.png</t>
  </si>
  <si>
    <t>rockets.svg</t>
  </si>
  <si>
    <t>res\ground.png</t>
  </si>
  <si>
    <t>C:\Users\madina\Desktop\inkscape\inkscape.com</t>
  </si>
  <si>
    <t>C:\Users\madina\Desktop\centauri\</t>
  </si>
  <si>
    <t>madina</t>
  </si>
  <si>
    <t>Kamil_A</t>
  </si>
  <si>
    <t>res\exp.png</t>
  </si>
  <si>
    <t>res\exp_progress_base.png</t>
  </si>
  <si>
    <t>res\exp_progress.png</t>
  </si>
  <si>
    <t>res\upg_scr_bcg.png</t>
  </si>
  <si>
    <t>res\press_anything.png</t>
  </si>
  <si>
    <t>objects.svg</t>
  </si>
  <si>
    <t>res\helicopter_0.png</t>
  </si>
  <si>
    <t>res\helicopter_1.png</t>
  </si>
  <si>
    <t>res\satellite_0.png</t>
  </si>
  <si>
    <t>res\satellite_1.png</t>
  </si>
  <si>
    <t>res\alienrocket_0.png</t>
  </si>
  <si>
    <t>res\alienrocket_1.png</t>
  </si>
  <si>
    <t>res\navigation_arrow.png</t>
  </si>
  <si>
    <t>res\progress_panel.png</t>
  </si>
  <si>
    <t>res\rockets\rocket_0_0.png</t>
  </si>
  <si>
    <t>res\rockets\rocket_1_0.png</t>
  </si>
  <si>
    <t>res\rockets\rocket_2_0.png</t>
  </si>
  <si>
    <t>res\rockets\rocket_3_0.png</t>
  </si>
  <si>
    <t>res\rockets\rocket_4_0.png</t>
  </si>
  <si>
    <t>res\rockets\rocket_5_0.png</t>
  </si>
  <si>
    <t>res\rockets\rocket_6_0.png</t>
  </si>
  <si>
    <t>res\rockets\rocket_7_0.png</t>
  </si>
  <si>
    <t>res\rockets\rocket_8_0.png</t>
  </si>
  <si>
    <t>res\rockets\rocket_9_0.png</t>
  </si>
  <si>
    <t>res\rockets\rocket_10_0.png</t>
  </si>
  <si>
    <t>res\rockets\rocket_11_0.png</t>
  </si>
  <si>
    <t>res\rockets\rocket_12_0.png</t>
  </si>
  <si>
    <t>res\rockets\rocket_13_0.png</t>
  </si>
  <si>
    <t>res\rockets\rocket_0_1.png</t>
  </si>
  <si>
    <t>res\rockets\rocket_1_1.png</t>
  </si>
  <si>
    <t>res\rockets\rocket_2_1.png</t>
  </si>
  <si>
    <t>res\rockets\rocket_3_1.png</t>
  </si>
  <si>
    <t>res\rockets\rocket_4_1.png</t>
  </si>
  <si>
    <t>res\rockets\rocket_5_1.png</t>
  </si>
  <si>
    <t>res\rockets\rocket_6_1.png</t>
  </si>
  <si>
    <t>res\rockets\rocket_7_1.png</t>
  </si>
  <si>
    <t>res\rockets\rocket_8_1.png</t>
  </si>
  <si>
    <t>res\rockets\rocket_9_1.png</t>
  </si>
  <si>
    <t>res\rockets\rocket_10_1.png</t>
  </si>
  <si>
    <t>res\rockets\rocket_11_1.png</t>
  </si>
  <si>
    <t>res\rockets\rocket_12_1.png</t>
  </si>
  <si>
    <t>res\rockets\rocket_13_1.png</t>
  </si>
  <si>
    <t>res\rockets\rocket_0_s.png</t>
  </si>
  <si>
    <t>res\rockets\rocket_1_s.png</t>
  </si>
  <si>
    <t>res\rockets\rocket_2_s.png</t>
  </si>
  <si>
    <t>res\rockets\rocket_3_s.png</t>
  </si>
  <si>
    <t>res\rockets\rocket_4_s.png</t>
  </si>
  <si>
    <t>res\rockets\rocket_5_s.png</t>
  </si>
  <si>
    <t>res\rockets\rocket_6_s.png</t>
  </si>
  <si>
    <t>res\rockets\rocket_7_s.png</t>
  </si>
  <si>
    <t>res\rockets\rocket_8_s.png</t>
  </si>
  <si>
    <t>res\rockets\rocket_9_s.png</t>
  </si>
  <si>
    <t>res\rockets\rocket_10_s.png</t>
  </si>
  <si>
    <t>res\rockets\rocket_11_s.png</t>
  </si>
  <si>
    <t>res\rockets\rocket_12_s.png</t>
  </si>
  <si>
    <t>res\rockets\rocket_13_s.png</t>
  </si>
  <si>
    <t>res\big_rockets\rocket_0_1.png</t>
  </si>
  <si>
    <t>res\big_rockets\rocket_1_1.png</t>
  </si>
  <si>
    <t>res\big_rockets\rocket_2_1.png</t>
  </si>
  <si>
    <t>res\big_rockets\rocket_3_1.png</t>
  </si>
  <si>
    <t>res\big_rockets\rocket_4_1.png</t>
  </si>
  <si>
    <t>res\big_rockets\rocket_5_1.png</t>
  </si>
  <si>
    <t>res\big_rockets\rocket_6_1.png</t>
  </si>
  <si>
    <t>res\big_rockets\rocket_7_1.png</t>
  </si>
  <si>
    <t>res\big_rockets\rocket_8_1.png</t>
  </si>
  <si>
    <t>res\big_rockets\rocket_9_1.png</t>
  </si>
  <si>
    <t>res\big_rockets\rocket_10_1.png</t>
  </si>
  <si>
    <t>res\big_rockets\rocket_11_1.png</t>
  </si>
  <si>
    <t>res\big_rockets\rocket_12_1.png</t>
  </si>
  <si>
    <t>res\big_rockets\rocket_13_1.png</t>
  </si>
  <si>
    <t>res\big_rockets\rocket_0_0.png</t>
  </si>
  <si>
    <t>res\big_rockets\rocket_1_0.png</t>
  </si>
  <si>
    <t>res\big_rockets\rocket_2_0.png</t>
  </si>
  <si>
    <t>res\big_rockets\rocket_3_0.png</t>
  </si>
  <si>
    <t>res\big_rockets\rocket_4_0.png</t>
  </si>
  <si>
    <t>res\big_rockets\rocket_5_0.png</t>
  </si>
  <si>
    <t>res\big_rockets\rocket_6_0.png</t>
  </si>
  <si>
    <t>res\big_rockets\rocket_7_0.png</t>
  </si>
  <si>
    <t>res\big_rockets\rocket_8_0.png</t>
  </si>
  <si>
    <t>res\big_rockets\rocket_9_0.png</t>
  </si>
  <si>
    <t>res\big_rockets\rocket_10_0.png</t>
  </si>
  <si>
    <t>res\big_rockets\rocket_11_0.png</t>
  </si>
  <si>
    <t>res\big_rockets\rocket_12_0.png</t>
  </si>
  <si>
    <t>res\big_rockets\rocket_13_0.png</t>
  </si>
  <si>
    <t>big_rockets.svg</t>
  </si>
  <si>
    <t>res\arrow\arrow_0.png</t>
  </si>
  <si>
    <t>res\arrow\arrow_1.png</t>
  </si>
  <si>
    <t>res\arrow\arrow_2.png</t>
  </si>
  <si>
    <t>res\arrow\arrow_3.png</t>
  </si>
  <si>
    <t>res\arrow\arrow_4.png</t>
  </si>
  <si>
    <t>res\arrow\arrow_5.png</t>
  </si>
  <si>
    <t>res\arrow\arrow_6.png</t>
  </si>
  <si>
    <t>res\arrow\arrow_7.png</t>
  </si>
  <si>
    <t>res\exp\exp_0.png</t>
  </si>
  <si>
    <t>res\exp\exp_1.png</t>
  </si>
  <si>
    <t>res\exp\exp_2.png</t>
  </si>
  <si>
    <t>res\exp\exp_3.png</t>
  </si>
  <si>
    <t>res\exp\exp_4.png</t>
  </si>
  <si>
    <t>res\exp\exp_5.png</t>
  </si>
  <si>
    <t>res\exp\exp_6.png</t>
  </si>
  <si>
    <t>res\exp\exp_7.png</t>
  </si>
  <si>
    <t>res\low_fuel.png</t>
  </si>
  <si>
    <t>res\space_ship_2\0.png</t>
  </si>
  <si>
    <t>res\space_ship_2\1.png</t>
  </si>
  <si>
    <t>res\ufo_2\0.png</t>
  </si>
  <si>
    <t>res\ufo_2\1.png</t>
  </si>
  <si>
    <t>res\space_ship_3\0.png</t>
  </si>
  <si>
    <t>res\space_ship_3\1.png</t>
  </si>
  <si>
    <t>res\ufo_3\0.png</t>
  </si>
  <si>
    <t>res\ufo_3\1.png</t>
  </si>
  <si>
    <t>res\message_bcg.png</t>
  </si>
  <si>
    <t>res\bars\back_0.png</t>
  </si>
  <si>
    <t>res\bars\back_1.png</t>
  </si>
  <si>
    <t>res\bars\back_2.png</t>
  </si>
  <si>
    <t>res\bars\back_3.png</t>
  </si>
  <si>
    <t>res\bars\back_4.png</t>
  </si>
  <si>
    <t>res\bars\back_5.png</t>
  </si>
  <si>
    <t>res\bars\back_6.png</t>
  </si>
  <si>
    <t>res\bars\back_7.png</t>
  </si>
  <si>
    <t>res\bars\back_8.png</t>
  </si>
  <si>
    <t>res\bars\back_9.png</t>
  </si>
  <si>
    <t>res\bars\back_10.png</t>
  </si>
  <si>
    <t>res\bars\back_12.png</t>
  </si>
  <si>
    <t>res\bars\back_11.png</t>
  </si>
  <si>
    <t>res\bars\back_13.png</t>
  </si>
  <si>
    <t>res\bars\front.png</t>
  </si>
  <si>
    <t>res\space_ship_2\2.png</t>
  </si>
  <si>
    <t>res\space_ship_2\3.png</t>
  </si>
  <si>
    <t>res\ufo_1\1.png</t>
  </si>
  <si>
    <t>res\ufo_1\0.png</t>
  </si>
  <si>
    <t>res\ufo_1\2.png</t>
  </si>
  <si>
    <t>res\bars\front_2.png</t>
  </si>
  <si>
    <t>res\fuel_icon.png</t>
  </si>
  <si>
    <t>res\shield_icon.png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</si>
</sst>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left" indent="1"/>
    </xf>
    <xf numFmtId="0" fontId="1" fillId="0" borderId="0" xfId="0" applyFont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ont="1" applyFill="1" applyAlignment="1">
      <alignment horizontal="center"/>
    </xf>
    <xf numFmtId="0" fontId="0" fillId="8" borderId="0" xfId="0" applyFill="1"/>
    <xf numFmtId="0" fontId="0" fillId="4" borderId="0" xfId="0" applyFill="1" applyAlignment="1">
      <alignment horizontal="left" vertical="center" indent="1"/>
    </xf>
    <xf numFmtId="0" fontId="0" fillId="9" borderId="0" xfId="0" applyFill="1" applyAlignment="1">
      <alignment horizontal="center"/>
    </xf>
    <xf numFmtId="0" fontId="0" fillId="9" borderId="0" xfId="0" applyFont="1" applyFill="1" applyAlignment="1">
      <alignment horizontal="center"/>
    </xf>
    <xf numFmtId="0" fontId="0" fillId="9" borderId="0" xfId="0" applyFill="1"/>
    <xf numFmtId="0" fontId="0" fillId="5" borderId="0" xfId="0" applyFill="1" applyAlignment="1">
      <alignment horizontal="left" vertical="center" indent="1"/>
    </xf>
    <xf numFmtId="0" fontId="0" fillId="10" borderId="0" xfId="0" applyFill="1" applyAlignment="1">
      <alignment horizontal="center"/>
    </xf>
    <xf numFmtId="0" fontId="0" fillId="10" borderId="0" xfId="0" applyFont="1" applyFill="1" applyAlignment="1">
      <alignment horizontal="center"/>
    </xf>
    <xf numFmtId="0" fontId="0" fillId="10" borderId="0" xfId="0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11" borderId="0" xfId="0" applyFill="1" applyAlignment="1">
      <alignment horizontal="left" vertical="center" indent="1"/>
    </xf>
    <xf numFmtId="0" fontId="0" fillId="12" borderId="0" xfId="0" applyFill="1" applyAlignment="1">
      <alignment horizontal="center"/>
    </xf>
    <xf numFmtId="0" fontId="0" fillId="12" borderId="0" xfId="0" applyFont="1" applyFill="1" applyAlignment="1">
      <alignment horizontal="center"/>
    </xf>
    <xf numFmtId="0" fontId="0" fillId="12" borderId="0" xfId="0" applyFill="1" applyAlignment="1">
      <alignment horizontal="left" vertical="center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68036</xdr:rowOff>
    </xdr:from>
    <xdr:to>
      <xdr:col>0</xdr:col>
      <xdr:colOff>544286</xdr:colOff>
      <xdr:row>246</xdr:row>
      <xdr:rowOff>122464</xdr:rowOff>
    </xdr:to>
    <xdr:sp macro="[0]!ЭтаКнига.export_range" textlink="">
      <xdr:nvSpPr>
        <xdr:cNvPr id="2" name="Прямоугольник 1"/>
        <xdr:cNvSpPr/>
      </xdr:nvSpPr>
      <xdr:spPr>
        <a:xfrm>
          <a:off x="108857" y="68036"/>
          <a:ext cx="435429" cy="4024992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H264"/>
  <sheetViews>
    <sheetView tabSelected="1" topLeftCell="A46" zoomScale="85" zoomScaleNormal="85" workbookViewId="0">
      <selection activeCell="H72" sqref="H72"/>
    </sheetView>
  </sheetViews>
  <sheetFormatPr defaultRowHeight="15" x14ac:dyDescent="0.25"/>
  <cols>
    <col min="2" max="5" width="9.140625" style="2"/>
    <col min="6" max="6" width="21" style="4" customWidth="1"/>
    <col min="7" max="7" width="30.5703125" style="4" customWidth="1"/>
    <col min="8" max="8" width="185.28515625" customWidth="1"/>
  </cols>
  <sheetData>
    <row r="1" spans="2:8" x14ac:dyDescent="0.25">
      <c r="G1" s="6" t="s">
        <v>6</v>
      </c>
      <c r="H1" s="6" t="str">
        <f>Лист2!D10</f>
        <v>C:\Users\Kamil_A\Desktop\centauri\</v>
      </c>
    </row>
    <row r="2" spans="2:8" x14ac:dyDescent="0.25">
      <c r="G2" s="6" t="s">
        <v>7</v>
      </c>
      <c r="H2" s="6" t="str">
        <f>Лист2!D11</f>
        <v>D:\inkscape\inkscape.com</v>
      </c>
    </row>
    <row r="4" spans="2:8" x14ac:dyDescent="0.25"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</row>
    <row r="5" spans="2:8" x14ac:dyDescent="0.25">
      <c r="B5" s="3">
        <v>850</v>
      </c>
      <c r="C5" s="3">
        <v>350</v>
      </c>
      <c r="D5" s="3">
        <v>1000</v>
      </c>
      <c r="E5" s="3">
        <v>400</v>
      </c>
      <c r="F5" s="5" t="s">
        <v>8</v>
      </c>
      <c r="G5" s="5" t="s">
        <v>11</v>
      </c>
      <c r="H5" s="1" t="str">
        <f t="shared" ref="H5:H23" si="0">" --export-png="""&amp;$H$1&amp;G5&amp;""" """&amp;$H$1&amp;F5&amp;"""  --export-area="&amp;B5&amp;":"&amp;C5&amp;":"&amp;D5&amp;":"&amp;E5</f>
        <v xml:space="preserve"> --export-png="C:\Users\Kamil_A\Desktop\centauri\res\play_button.png" "C:\Users\Kamil_A\Desktop\centauri\logo.svg"  --export-area=850:350:1000:400</v>
      </c>
    </row>
    <row r="6" spans="2:8" x14ac:dyDescent="0.25">
      <c r="B6" s="3">
        <v>1000</v>
      </c>
      <c r="C6" s="3">
        <v>350</v>
      </c>
      <c r="D6" s="3">
        <f>B6+150</f>
        <v>1150</v>
      </c>
      <c r="E6" s="3">
        <v>400</v>
      </c>
      <c r="F6" s="5" t="s">
        <v>8</v>
      </c>
      <c r="G6" s="5" t="s">
        <v>12</v>
      </c>
      <c r="H6" s="1" t="str">
        <f t="shared" ref="H6" si="1">" --export-png="""&amp;$H$1&amp;G6&amp;""" """&amp;$H$1&amp;F6&amp;"""  --export-area="&amp;B6&amp;":"&amp;C6&amp;":"&amp;D6&amp;":"&amp;E6</f>
        <v xml:space="preserve"> --export-png="C:\Users\Kamil_A\Desktop\centauri\res\play_button_h.png" "C:\Users\Kamil_A\Desktop\centauri\logo.svg"  --export-area=1000:350:1150:400</v>
      </c>
    </row>
    <row r="7" spans="2:8" x14ac:dyDescent="0.25">
      <c r="B7" s="3">
        <v>0</v>
      </c>
      <c r="C7" s="3">
        <v>0</v>
      </c>
      <c r="D7" s="3">
        <f>B7+800</f>
        <v>800</v>
      </c>
      <c r="E7" s="3">
        <f>C7+600</f>
        <v>600</v>
      </c>
      <c r="F7" s="5" t="s">
        <v>8</v>
      </c>
      <c r="G7" s="5" t="s">
        <v>13</v>
      </c>
      <c r="H7" s="1" t="str">
        <f t="shared" si="0"/>
        <v xml:space="preserve"> --export-png="C:\Users\Kamil_A\Desktop\centauri\res\start_screen.png" "C:\Users\Kamil_A\Desktop\centauri\logo.svg"  --export-area=0:0:800:600</v>
      </c>
    </row>
    <row r="8" spans="2:8" x14ac:dyDescent="0.25">
      <c r="B8" s="3">
        <v>-275</v>
      </c>
      <c r="C8" s="3">
        <v>125</v>
      </c>
      <c r="D8" s="3">
        <v>-25</v>
      </c>
      <c r="E8" s="3">
        <v>650</v>
      </c>
      <c r="F8" s="5" t="s">
        <v>8</v>
      </c>
      <c r="G8" s="5" t="s">
        <v>14</v>
      </c>
      <c r="H8" s="1" t="str">
        <f t="shared" si="0"/>
        <v xml:space="preserve"> --export-png="C:\Users\Kamil_A\Desktop\centauri\res\rocket.png" "C:\Users\Kamil_A\Desktop\centauri\logo.svg"  --export-area=-275:125:-25:650</v>
      </c>
    </row>
    <row r="9" spans="2:8" x14ac:dyDescent="0.25">
      <c r="B9" s="3">
        <v>0</v>
      </c>
      <c r="C9" s="3">
        <v>-775</v>
      </c>
      <c r="D9" s="3">
        <v>800</v>
      </c>
      <c r="E9" s="3">
        <v>-675</v>
      </c>
      <c r="F9" s="5" t="s">
        <v>8</v>
      </c>
      <c r="G9" s="5" t="s">
        <v>16</v>
      </c>
      <c r="H9" s="1" t="str">
        <f t="shared" ref="H9" si="2">" --export-png="""&amp;$H$1&amp;G9&amp;""" """&amp;$H$1&amp;F9&amp;"""  --export-area="&amp;B9&amp;":"&amp;C9&amp;":"&amp;D9&amp;":"&amp;E9</f>
        <v xml:space="preserve"> --export-png="C:\Users\Kamil_A\Desktop\centauri\res\ground.png" "C:\Users\Kamil_A\Desktop\centauri\logo.svg"  --export-area=0:-775:800:-675</v>
      </c>
    </row>
    <row r="10" spans="2:8" x14ac:dyDescent="0.25">
      <c r="B10" s="9">
        <v>0</v>
      </c>
      <c r="C10" s="9">
        <v>300</v>
      </c>
      <c r="D10" s="9">
        <f>B10+92</f>
        <v>92</v>
      </c>
      <c r="E10" s="9">
        <f>C10+150</f>
        <v>450</v>
      </c>
      <c r="F10" s="10" t="s">
        <v>15</v>
      </c>
      <c r="G10" s="10" t="s">
        <v>35</v>
      </c>
      <c r="H10" s="8" t="str">
        <f t="shared" si="0"/>
        <v xml:space="preserve"> --export-png="C:\Users\Kamil_A\Desktop\centauri\res\rockets\rocket_0_0.png" "C:\Users\Kamil_A\Desktop\centauri\rockets.svg"  --export-area=0:300:92:450</v>
      </c>
    </row>
    <row r="11" spans="2:8" x14ac:dyDescent="0.25">
      <c r="B11" s="9">
        <f>B10+92</f>
        <v>92</v>
      </c>
      <c r="C11" s="9">
        <v>300</v>
      </c>
      <c r="D11" s="9">
        <f t="shared" ref="D11:D23" si="3">B11+92</f>
        <v>184</v>
      </c>
      <c r="E11" s="9">
        <f t="shared" ref="E11:E23" si="4">C11+150</f>
        <v>450</v>
      </c>
      <c r="F11" s="10" t="s">
        <v>15</v>
      </c>
      <c r="G11" s="10" t="s">
        <v>36</v>
      </c>
      <c r="H11" s="8" t="str">
        <f t="shared" si="0"/>
        <v xml:space="preserve"> --export-png="C:\Users\Kamil_A\Desktop\centauri\res\rockets\rocket_1_0.png" "C:\Users\Kamil_A\Desktop\centauri\rockets.svg"  --export-area=92:300:184:450</v>
      </c>
    </row>
    <row r="12" spans="2:8" x14ac:dyDescent="0.25">
      <c r="B12" s="9">
        <f t="shared" ref="B12:B23" si="5">B11+92</f>
        <v>184</v>
      </c>
      <c r="C12" s="9">
        <v>300</v>
      </c>
      <c r="D12" s="9">
        <f t="shared" si="3"/>
        <v>276</v>
      </c>
      <c r="E12" s="9">
        <f t="shared" si="4"/>
        <v>450</v>
      </c>
      <c r="F12" s="10" t="s">
        <v>15</v>
      </c>
      <c r="G12" s="10" t="s">
        <v>37</v>
      </c>
      <c r="H12" s="8" t="str">
        <f t="shared" si="0"/>
        <v xml:space="preserve"> --export-png="C:\Users\Kamil_A\Desktop\centauri\res\rockets\rocket_2_0.png" "C:\Users\Kamil_A\Desktop\centauri\rockets.svg"  --export-area=184:300:276:450</v>
      </c>
    </row>
    <row r="13" spans="2:8" x14ac:dyDescent="0.25">
      <c r="B13" s="9">
        <f t="shared" si="5"/>
        <v>276</v>
      </c>
      <c r="C13" s="9">
        <v>300</v>
      </c>
      <c r="D13" s="9">
        <f t="shared" si="3"/>
        <v>368</v>
      </c>
      <c r="E13" s="9">
        <f t="shared" si="4"/>
        <v>450</v>
      </c>
      <c r="F13" s="10" t="s">
        <v>15</v>
      </c>
      <c r="G13" s="10" t="s">
        <v>38</v>
      </c>
      <c r="H13" s="8" t="str">
        <f t="shared" si="0"/>
        <v xml:space="preserve"> --export-png="C:\Users\Kamil_A\Desktop\centauri\res\rockets\rocket_3_0.png" "C:\Users\Kamil_A\Desktop\centauri\rockets.svg"  --export-area=276:300:368:450</v>
      </c>
    </row>
    <row r="14" spans="2:8" x14ac:dyDescent="0.25">
      <c r="B14" s="9">
        <f t="shared" si="5"/>
        <v>368</v>
      </c>
      <c r="C14" s="9">
        <v>300</v>
      </c>
      <c r="D14" s="9">
        <f t="shared" si="3"/>
        <v>460</v>
      </c>
      <c r="E14" s="9">
        <f t="shared" si="4"/>
        <v>450</v>
      </c>
      <c r="F14" s="10" t="s">
        <v>15</v>
      </c>
      <c r="G14" s="10" t="s">
        <v>39</v>
      </c>
      <c r="H14" s="8" t="str">
        <f t="shared" si="0"/>
        <v xml:space="preserve"> --export-png="C:\Users\Kamil_A\Desktop\centauri\res\rockets\rocket_4_0.png" "C:\Users\Kamil_A\Desktop\centauri\rockets.svg"  --export-area=368:300:460:450</v>
      </c>
    </row>
    <row r="15" spans="2:8" x14ac:dyDescent="0.25">
      <c r="B15" s="9">
        <f t="shared" si="5"/>
        <v>460</v>
      </c>
      <c r="C15" s="9">
        <v>300</v>
      </c>
      <c r="D15" s="9">
        <f t="shared" si="3"/>
        <v>552</v>
      </c>
      <c r="E15" s="9">
        <f t="shared" si="4"/>
        <v>450</v>
      </c>
      <c r="F15" s="10" t="s">
        <v>15</v>
      </c>
      <c r="G15" s="10" t="s">
        <v>40</v>
      </c>
      <c r="H15" s="8" t="str">
        <f t="shared" si="0"/>
        <v xml:space="preserve"> --export-png="C:\Users\Kamil_A\Desktop\centauri\res\rockets\rocket_5_0.png" "C:\Users\Kamil_A\Desktop\centauri\rockets.svg"  --export-area=460:300:552:450</v>
      </c>
    </row>
    <row r="16" spans="2:8" x14ac:dyDescent="0.25">
      <c r="B16" s="9">
        <f t="shared" si="5"/>
        <v>552</v>
      </c>
      <c r="C16" s="9">
        <v>300</v>
      </c>
      <c r="D16" s="9">
        <f t="shared" si="3"/>
        <v>644</v>
      </c>
      <c r="E16" s="9">
        <f t="shared" si="4"/>
        <v>450</v>
      </c>
      <c r="F16" s="10" t="s">
        <v>15</v>
      </c>
      <c r="G16" s="10" t="s">
        <v>41</v>
      </c>
      <c r="H16" s="8" t="str">
        <f t="shared" si="0"/>
        <v xml:space="preserve"> --export-png="C:\Users\Kamil_A\Desktop\centauri\res\rockets\rocket_6_0.png" "C:\Users\Kamil_A\Desktop\centauri\rockets.svg"  --export-area=552:300:644:450</v>
      </c>
    </row>
    <row r="17" spans="2:8" x14ac:dyDescent="0.25">
      <c r="B17" s="9">
        <f t="shared" si="5"/>
        <v>644</v>
      </c>
      <c r="C17" s="9">
        <v>300</v>
      </c>
      <c r="D17" s="9">
        <f t="shared" si="3"/>
        <v>736</v>
      </c>
      <c r="E17" s="9">
        <f t="shared" si="4"/>
        <v>450</v>
      </c>
      <c r="F17" s="10" t="s">
        <v>15</v>
      </c>
      <c r="G17" s="10" t="s">
        <v>42</v>
      </c>
      <c r="H17" s="8" t="str">
        <f t="shared" si="0"/>
        <v xml:space="preserve"> --export-png="C:\Users\Kamil_A\Desktop\centauri\res\rockets\rocket_7_0.png" "C:\Users\Kamil_A\Desktop\centauri\rockets.svg"  --export-area=644:300:736:450</v>
      </c>
    </row>
    <row r="18" spans="2:8" x14ac:dyDescent="0.25">
      <c r="B18" s="9">
        <f t="shared" si="5"/>
        <v>736</v>
      </c>
      <c r="C18" s="9">
        <v>300</v>
      </c>
      <c r="D18" s="9">
        <f t="shared" si="3"/>
        <v>828</v>
      </c>
      <c r="E18" s="9">
        <f t="shared" si="4"/>
        <v>450</v>
      </c>
      <c r="F18" s="10" t="s">
        <v>15</v>
      </c>
      <c r="G18" s="10" t="s">
        <v>43</v>
      </c>
      <c r="H18" s="8" t="str">
        <f t="shared" si="0"/>
        <v xml:space="preserve"> --export-png="C:\Users\Kamil_A\Desktop\centauri\res\rockets\rocket_8_0.png" "C:\Users\Kamil_A\Desktop\centauri\rockets.svg"  --export-area=736:300:828:450</v>
      </c>
    </row>
    <row r="19" spans="2:8" x14ac:dyDescent="0.25">
      <c r="B19" s="9">
        <f t="shared" si="5"/>
        <v>828</v>
      </c>
      <c r="C19" s="9">
        <v>300</v>
      </c>
      <c r="D19" s="9">
        <f t="shared" si="3"/>
        <v>920</v>
      </c>
      <c r="E19" s="9">
        <f t="shared" si="4"/>
        <v>450</v>
      </c>
      <c r="F19" s="10" t="s">
        <v>15</v>
      </c>
      <c r="G19" s="10" t="s">
        <v>44</v>
      </c>
      <c r="H19" s="8" t="str">
        <f t="shared" si="0"/>
        <v xml:space="preserve"> --export-png="C:\Users\Kamil_A\Desktop\centauri\res\rockets\rocket_9_0.png" "C:\Users\Kamil_A\Desktop\centauri\rockets.svg"  --export-area=828:300:920:450</v>
      </c>
    </row>
    <row r="20" spans="2:8" x14ac:dyDescent="0.25">
      <c r="B20" s="9">
        <f t="shared" si="5"/>
        <v>920</v>
      </c>
      <c r="C20" s="9">
        <v>300</v>
      </c>
      <c r="D20" s="9">
        <f t="shared" si="3"/>
        <v>1012</v>
      </c>
      <c r="E20" s="9">
        <f t="shared" si="4"/>
        <v>450</v>
      </c>
      <c r="F20" s="10" t="s">
        <v>15</v>
      </c>
      <c r="G20" s="10" t="s">
        <v>45</v>
      </c>
      <c r="H20" s="8" t="str">
        <f t="shared" si="0"/>
        <v xml:space="preserve"> --export-png="C:\Users\Kamil_A\Desktop\centauri\res\rockets\rocket_10_0.png" "C:\Users\Kamil_A\Desktop\centauri\rockets.svg"  --export-area=920:300:1012:450</v>
      </c>
    </row>
    <row r="21" spans="2:8" x14ac:dyDescent="0.25">
      <c r="B21" s="9">
        <f t="shared" si="5"/>
        <v>1012</v>
      </c>
      <c r="C21" s="9">
        <v>300</v>
      </c>
      <c r="D21" s="9">
        <f t="shared" si="3"/>
        <v>1104</v>
      </c>
      <c r="E21" s="9">
        <f t="shared" si="4"/>
        <v>450</v>
      </c>
      <c r="F21" s="10" t="s">
        <v>15</v>
      </c>
      <c r="G21" s="10" t="s">
        <v>46</v>
      </c>
      <c r="H21" s="8" t="str">
        <f t="shared" si="0"/>
        <v xml:space="preserve"> --export-png="C:\Users\Kamil_A\Desktop\centauri\res\rockets\rocket_11_0.png" "C:\Users\Kamil_A\Desktop\centauri\rockets.svg"  --export-area=1012:300:1104:450</v>
      </c>
    </row>
    <row r="22" spans="2:8" x14ac:dyDescent="0.25">
      <c r="B22" s="9">
        <f t="shared" si="5"/>
        <v>1104</v>
      </c>
      <c r="C22" s="9">
        <v>300</v>
      </c>
      <c r="D22" s="9">
        <f t="shared" si="3"/>
        <v>1196</v>
      </c>
      <c r="E22" s="9">
        <f t="shared" si="4"/>
        <v>450</v>
      </c>
      <c r="F22" s="10" t="s">
        <v>15</v>
      </c>
      <c r="G22" s="10" t="s">
        <v>47</v>
      </c>
      <c r="H22" s="8" t="str">
        <f t="shared" si="0"/>
        <v xml:space="preserve"> --export-png="C:\Users\Kamil_A\Desktop\centauri\res\rockets\rocket_12_0.png" "C:\Users\Kamil_A\Desktop\centauri\rockets.svg"  --export-area=1104:300:1196:450</v>
      </c>
    </row>
    <row r="23" spans="2:8" x14ac:dyDescent="0.25">
      <c r="B23" s="9">
        <f t="shared" si="5"/>
        <v>1196</v>
      </c>
      <c r="C23" s="9">
        <v>300</v>
      </c>
      <c r="D23" s="9">
        <f t="shared" si="3"/>
        <v>1288</v>
      </c>
      <c r="E23" s="9">
        <f t="shared" si="4"/>
        <v>450</v>
      </c>
      <c r="F23" s="10" t="s">
        <v>15</v>
      </c>
      <c r="G23" s="10" t="s">
        <v>48</v>
      </c>
      <c r="H23" s="8" t="str">
        <f t="shared" si="0"/>
        <v xml:space="preserve"> --export-png="C:\Users\Kamil_A\Desktop\centauri\res\rockets\rocket_13_0.png" "C:\Users\Kamil_A\Desktop\centauri\rockets.svg"  --export-area=1196:300:1288:450</v>
      </c>
    </row>
    <row r="24" spans="2:8" x14ac:dyDescent="0.25">
      <c r="B24" s="12">
        <v>0</v>
      </c>
      <c r="C24" s="12">
        <v>150</v>
      </c>
      <c r="D24" s="12">
        <f>B24+92</f>
        <v>92</v>
      </c>
      <c r="E24" s="12">
        <f>C24+150</f>
        <v>300</v>
      </c>
      <c r="F24" s="13" t="s">
        <v>15</v>
      </c>
      <c r="G24" s="13" t="s">
        <v>49</v>
      </c>
      <c r="H24" s="11" t="str">
        <f t="shared" ref="H24:H37" si="6">" --export-png="""&amp;$H$1&amp;G24&amp;""" """&amp;$H$1&amp;F24&amp;"""  --export-area="&amp;B24&amp;":"&amp;C24&amp;":"&amp;D24&amp;":"&amp;E24</f>
        <v xml:space="preserve"> --export-png="C:\Users\Kamil_A\Desktop\centauri\res\rockets\rocket_0_1.png" "C:\Users\Kamil_A\Desktop\centauri\rockets.svg"  --export-area=0:150:92:300</v>
      </c>
    </row>
    <row r="25" spans="2:8" x14ac:dyDescent="0.25">
      <c r="B25" s="12">
        <f>B24+92</f>
        <v>92</v>
      </c>
      <c r="C25" s="12">
        <f>C24</f>
        <v>150</v>
      </c>
      <c r="D25" s="12">
        <f t="shared" ref="D25:D37" si="7">B25+92</f>
        <v>184</v>
      </c>
      <c r="E25" s="12">
        <f t="shared" ref="E25:E37" si="8">C25+150</f>
        <v>300</v>
      </c>
      <c r="F25" s="13" t="s">
        <v>15</v>
      </c>
      <c r="G25" s="13" t="s">
        <v>50</v>
      </c>
      <c r="H25" s="11" t="str">
        <f t="shared" si="6"/>
        <v xml:space="preserve"> --export-png="C:\Users\Kamil_A\Desktop\centauri\res\rockets\rocket_1_1.png" "C:\Users\Kamil_A\Desktop\centauri\rockets.svg"  --export-area=92:150:184:300</v>
      </c>
    </row>
    <row r="26" spans="2:8" x14ac:dyDescent="0.25">
      <c r="B26" s="12">
        <f t="shared" ref="B26:B37" si="9">B25+92</f>
        <v>184</v>
      </c>
      <c r="C26" s="12">
        <f t="shared" ref="C26:C37" si="10">C25</f>
        <v>150</v>
      </c>
      <c r="D26" s="12">
        <f t="shared" si="7"/>
        <v>276</v>
      </c>
      <c r="E26" s="12">
        <f t="shared" si="8"/>
        <v>300</v>
      </c>
      <c r="F26" s="13" t="s">
        <v>15</v>
      </c>
      <c r="G26" s="13" t="s">
        <v>51</v>
      </c>
      <c r="H26" s="11" t="str">
        <f t="shared" si="6"/>
        <v xml:space="preserve"> --export-png="C:\Users\Kamil_A\Desktop\centauri\res\rockets\rocket_2_1.png" "C:\Users\Kamil_A\Desktop\centauri\rockets.svg"  --export-area=184:150:276:300</v>
      </c>
    </row>
    <row r="27" spans="2:8" x14ac:dyDescent="0.25">
      <c r="B27" s="12">
        <f t="shared" si="9"/>
        <v>276</v>
      </c>
      <c r="C27" s="12">
        <f t="shared" si="10"/>
        <v>150</v>
      </c>
      <c r="D27" s="12">
        <f t="shared" si="7"/>
        <v>368</v>
      </c>
      <c r="E27" s="12">
        <f t="shared" si="8"/>
        <v>300</v>
      </c>
      <c r="F27" s="13" t="s">
        <v>15</v>
      </c>
      <c r="G27" s="13" t="s">
        <v>52</v>
      </c>
      <c r="H27" s="11" t="str">
        <f t="shared" si="6"/>
        <v xml:space="preserve"> --export-png="C:\Users\Kamil_A\Desktop\centauri\res\rockets\rocket_3_1.png" "C:\Users\Kamil_A\Desktop\centauri\rockets.svg"  --export-area=276:150:368:300</v>
      </c>
    </row>
    <row r="28" spans="2:8" x14ac:dyDescent="0.25">
      <c r="B28" s="12">
        <f t="shared" si="9"/>
        <v>368</v>
      </c>
      <c r="C28" s="12">
        <f t="shared" si="10"/>
        <v>150</v>
      </c>
      <c r="D28" s="12">
        <f t="shared" si="7"/>
        <v>460</v>
      </c>
      <c r="E28" s="12">
        <f t="shared" si="8"/>
        <v>300</v>
      </c>
      <c r="F28" s="13" t="s">
        <v>15</v>
      </c>
      <c r="G28" s="13" t="s">
        <v>53</v>
      </c>
      <c r="H28" s="11" t="str">
        <f t="shared" si="6"/>
        <v xml:space="preserve"> --export-png="C:\Users\Kamil_A\Desktop\centauri\res\rockets\rocket_4_1.png" "C:\Users\Kamil_A\Desktop\centauri\rockets.svg"  --export-area=368:150:460:300</v>
      </c>
    </row>
    <row r="29" spans="2:8" x14ac:dyDescent="0.25">
      <c r="B29" s="12">
        <f t="shared" si="9"/>
        <v>460</v>
      </c>
      <c r="C29" s="12">
        <f t="shared" si="10"/>
        <v>150</v>
      </c>
      <c r="D29" s="12">
        <f t="shared" si="7"/>
        <v>552</v>
      </c>
      <c r="E29" s="12">
        <f t="shared" si="8"/>
        <v>300</v>
      </c>
      <c r="F29" s="13" t="s">
        <v>15</v>
      </c>
      <c r="G29" s="13" t="s">
        <v>54</v>
      </c>
      <c r="H29" s="11" t="str">
        <f t="shared" si="6"/>
        <v xml:space="preserve"> --export-png="C:\Users\Kamil_A\Desktop\centauri\res\rockets\rocket_5_1.png" "C:\Users\Kamil_A\Desktop\centauri\rockets.svg"  --export-area=460:150:552:300</v>
      </c>
    </row>
    <row r="30" spans="2:8" x14ac:dyDescent="0.25">
      <c r="B30" s="12">
        <f t="shared" si="9"/>
        <v>552</v>
      </c>
      <c r="C30" s="12">
        <f t="shared" si="10"/>
        <v>150</v>
      </c>
      <c r="D30" s="12">
        <f t="shared" si="7"/>
        <v>644</v>
      </c>
      <c r="E30" s="12">
        <f t="shared" si="8"/>
        <v>300</v>
      </c>
      <c r="F30" s="13" t="s">
        <v>15</v>
      </c>
      <c r="G30" s="13" t="s">
        <v>55</v>
      </c>
      <c r="H30" s="11" t="str">
        <f t="shared" si="6"/>
        <v xml:space="preserve"> --export-png="C:\Users\Kamil_A\Desktop\centauri\res\rockets\rocket_6_1.png" "C:\Users\Kamil_A\Desktop\centauri\rockets.svg"  --export-area=552:150:644:300</v>
      </c>
    </row>
    <row r="31" spans="2:8" x14ac:dyDescent="0.25">
      <c r="B31" s="12">
        <f t="shared" si="9"/>
        <v>644</v>
      </c>
      <c r="C31" s="12">
        <f t="shared" si="10"/>
        <v>150</v>
      </c>
      <c r="D31" s="12">
        <f t="shared" si="7"/>
        <v>736</v>
      </c>
      <c r="E31" s="12">
        <f t="shared" si="8"/>
        <v>300</v>
      </c>
      <c r="F31" s="13" t="s">
        <v>15</v>
      </c>
      <c r="G31" s="13" t="s">
        <v>56</v>
      </c>
      <c r="H31" s="11" t="str">
        <f t="shared" si="6"/>
        <v xml:space="preserve"> --export-png="C:\Users\Kamil_A\Desktop\centauri\res\rockets\rocket_7_1.png" "C:\Users\Kamil_A\Desktop\centauri\rockets.svg"  --export-area=644:150:736:300</v>
      </c>
    </row>
    <row r="32" spans="2:8" x14ac:dyDescent="0.25">
      <c r="B32" s="12">
        <f t="shared" si="9"/>
        <v>736</v>
      </c>
      <c r="C32" s="12">
        <f t="shared" si="10"/>
        <v>150</v>
      </c>
      <c r="D32" s="12">
        <f t="shared" si="7"/>
        <v>828</v>
      </c>
      <c r="E32" s="12">
        <f t="shared" si="8"/>
        <v>300</v>
      </c>
      <c r="F32" s="13" t="s">
        <v>15</v>
      </c>
      <c r="G32" s="13" t="s">
        <v>57</v>
      </c>
      <c r="H32" s="11" t="str">
        <f t="shared" si="6"/>
        <v xml:space="preserve"> --export-png="C:\Users\Kamil_A\Desktop\centauri\res\rockets\rocket_8_1.png" "C:\Users\Kamil_A\Desktop\centauri\rockets.svg"  --export-area=736:150:828:300</v>
      </c>
    </row>
    <row r="33" spans="2:8" x14ac:dyDescent="0.25">
      <c r="B33" s="12">
        <f t="shared" si="9"/>
        <v>828</v>
      </c>
      <c r="C33" s="12">
        <f t="shared" si="10"/>
        <v>150</v>
      </c>
      <c r="D33" s="12">
        <f t="shared" si="7"/>
        <v>920</v>
      </c>
      <c r="E33" s="12">
        <f t="shared" si="8"/>
        <v>300</v>
      </c>
      <c r="F33" s="13" t="s">
        <v>15</v>
      </c>
      <c r="G33" s="13" t="s">
        <v>58</v>
      </c>
      <c r="H33" s="11" t="str">
        <f t="shared" si="6"/>
        <v xml:space="preserve"> --export-png="C:\Users\Kamil_A\Desktop\centauri\res\rockets\rocket_9_1.png" "C:\Users\Kamil_A\Desktop\centauri\rockets.svg"  --export-area=828:150:920:300</v>
      </c>
    </row>
    <row r="34" spans="2:8" x14ac:dyDescent="0.25">
      <c r="B34" s="12">
        <f t="shared" si="9"/>
        <v>920</v>
      </c>
      <c r="C34" s="12">
        <f t="shared" si="10"/>
        <v>150</v>
      </c>
      <c r="D34" s="12">
        <f t="shared" si="7"/>
        <v>1012</v>
      </c>
      <c r="E34" s="12">
        <f t="shared" si="8"/>
        <v>300</v>
      </c>
      <c r="F34" s="13" t="s">
        <v>15</v>
      </c>
      <c r="G34" s="13" t="s">
        <v>59</v>
      </c>
      <c r="H34" s="11" t="str">
        <f t="shared" si="6"/>
        <v xml:space="preserve"> --export-png="C:\Users\Kamil_A\Desktop\centauri\res\rockets\rocket_10_1.png" "C:\Users\Kamil_A\Desktop\centauri\rockets.svg"  --export-area=920:150:1012:300</v>
      </c>
    </row>
    <row r="35" spans="2:8" x14ac:dyDescent="0.25">
      <c r="B35" s="12">
        <f t="shared" si="9"/>
        <v>1012</v>
      </c>
      <c r="C35" s="12">
        <f t="shared" si="10"/>
        <v>150</v>
      </c>
      <c r="D35" s="12">
        <f t="shared" si="7"/>
        <v>1104</v>
      </c>
      <c r="E35" s="12">
        <f t="shared" si="8"/>
        <v>300</v>
      </c>
      <c r="F35" s="13" t="s">
        <v>15</v>
      </c>
      <c r="G35" s="13" t="s">
        <v>60</v>
      </c>
      <c r="H35" s="11" t="str">
        <f t="shared" si="6"/>
        <v xml:space="preserve"> --export-png="C:\Users\Kamil_A\Desktop\centauri\res\rockets\rocket_11_1.png" "C:\Users\Kamil_A\Desktop\centauri\rockets.svg"  --export-area=1012:150:1104:300</v>
      </c>
    </row>
    <row r="36" spans="2:8" x14ac:dyDescent="0.25">
      <c r="B36" s="12">
        <f t="shared" si="9"/>
        <v>1104</v>
      </c>
      <c r="C36" s="12">
        <f t="shared" si="10"/>
        <v>150</v>
      </c>
      <c r="D36" s="12">
        <f t="shared" si="7"/>
        <v>1196</v>
      </c>
      <c r="E36" s="12">
        <f t="shared" si="8"/>
        <v>300</v>
      </c>
      <c r="F36" s="13" t="s">
        <v>15</v>
      </c>
      <c r="G36" s="13" t="s">
        <v>61</v>
      </c>
      <c r="H36" s="11" t="str">
        <f t="shared" si="6"/>
        <v xml:space="preserve"> --export-png="C:\Users\Kamil_A\Desktop\centauri\res\rockets\rocket_12_1.png" "C:\Users\Kamil_A\Desktop\centauri\rockets.svg"  --export-area=1104:150:1196:300</v>
      </c>
    </row>
    <row r="37" spans="2:8" x14ac:dyDescent="0.25">
      <c r="B37" s="12">
        <f t="shared" si="9"/>
        <v>1196</v>
      </c>
      <c r="C37" s="12">
        <f t="shared" si="10"/>
        <v>150</v>
      </c>
      <c r="D37" s="12">
        <f t="shared" si="7"/>
        <v>1288</v>
      </c>
      <c r="E37" s="12">
        <f t="shared" si="8"/>
        <v>300</v>
      </c>
      <c r="F37" s="13" t="s">
        <v>15</v>
      </c>
      <c r="G37" s="13" t="s">
        <v>62</v>
      </c>
      <c r="H37" s="11" t="str">
        <f t="shared" si="6"/>
        <v xml:space="preserve"> --export-png="C:\Users\Kamil_A\Desktop\centauri\res\rockets\rocket_13_1.png" "C:\Users\Kamil_A\Desktop\centauri\rockets.svg"  --export-area=1196:150:1288:300</v>
      </c>
    </row>
    <row r="38" spans="2:8" x14ac:dyDescent="0.25">
      <c r="B38" s="20">
        <v>0</v>
      </c>
      <c r="C38" s="20">
        <v>0</v>
      </c>
      <c r="D38" s="20">
        <f>B38+92</f>
        <v>92</v>
      </c>
      <c r="E38" s="20">
        <f>C38+150</f>
        <v>150</v>
      </c>
      <c r="F38" s="21" t="s">
        <v>15</v>
      </c>
      <c r="G38" s="21" t="s">
        <v>63</v>
      </c>
      <c r="H38" s="22" t="str">
        <f t="shared" ref="H38:H65" si="11">" --export-png="""&amp;$H$1&amp;G38&amp;""" """&amp;$H$1&amp;F38&amp;"""  --export-area="&amp;B38&amp;":"&amp;C38&amp;":"&amp;D38&amp;":"&amp;E38</f>
        <v xml:space="preserve"> --export-png="C:\Users\Kamil_A\Desktop\centauri\res\rockets\rocket_0_s.png" "C:\Users\Kamil_A\Desktop\centauri\rockets.svg"  --export-area=0:0:92:150</v>
      </c>
    </row>
    <row r="39" spans="2:8" x14ac:dyDescent="0.25">
      <c r="B39" s="20">
        <f>B38+92</f>
        <v>92</v>
      </c>
      <c r="C39" s="20">
        <f>C38</f>
        <v>0</v>
      </c>
      <c r="D39" s="20">
        <f t="shared" ref="D39:D51" si="12">B39+92</f>
        <v>184</v>
      </c>
      <c r="E39" s="20">
        <f t="shared" ref="E39:E51" si="13">C39+150</f>
        <v>150</v>
      </c>
      <c r="F39" s="21" t="s">
        <v>15</v>
      </c>
      <c r="G39" s="21" t="s">
        <v>64</v>
      </c>
      <c r="H39" s="22" t="str">
        <f t="shared" si="11"/>
        <v xml:space="preserve"> --export-png="C:\Users\Kamil_A\Desktop\centauri\res\rockets\rocket_1_s.png" "C:\Users\Kamil_A\Desktop\centauri\rockets.svg"  --export-area=92:0:184:150</v>
      </c>
    </row>
    <row r="40" spans="2:8" x14ac:dyDescent="0.25">
      <c r="B40" s="20">
        <f t="shared" ref="B40:B51" si="14">B39+92</f>
        <v>184</v>
      </c>
      <c r="C40" s="20">
        <f t="shared" ref="C40:C51" si="15">C39</f>
        <v>0</v>
      </c>
      <c r="D40" s="20">
        <f t="shared" si="12"/>
        <v>276</v>
      </c>
      <c r="E40" s="20">
        <f t="shared" si="13"/>
        <v>150</v>
      </c>
      <c r="F40" s="21" t="s">
        <v>15</v>
      </c>
      <c r="G40" s="21" t="s">
        <v>65</v>
      </c>
      <c r="H40" s="22" t="str">
        <f t="shared" si="11"/>
        <v xml:space="preserve"> --export-png="C:\Users\Kamil_A\Desktop\centauri\res\rockets\rocket_2_s.png" "C:\Users\Kamil_A\Desktop\centauri\rockets.svg"  --export-area=184:0:276:150</v>
      </c>
    </row>
    <row r="41" spans="2:8" x14ac:dyDescent="0.25">
      <c r="B41" s="20">
        <f t="shared" si="14"/>
        <v>276</v>
      </c>
      <c r="C41" s="20">
        <f t="shared" si="15"/>
        <v>0</v>
      </c>
      <c r="D41" s="20">
        <f t="shared" si="12"/>
        <v>368</v>
      </c>
      <c r="E41" s="20">
        <f t="shared" si="13"/>
        <v>150</v>
      </c>
      <c r="F41" s="21" t="s">
        <v>15</v>
      </c>
      <c r="G41" s="21" t="s">
        <v>66</v>
      </c>
      <c r="H41" s="22" t="str">
        <f t="shared" si="11"/>
        <v xml:space="preserve"> --export-png="C:\Users\Kamil_A\Desktop\centauri\res\rockets\rocket_3_s.png" "C:\Users\Kamil_A\Desktop\centauri\rockets.svg"  --export-area=276:0:368:150</v>
      </c>
    </row>
    <row r="42" spans="2:8" x14ac:dyDescent="0.25">
      <c r="B42" s="20">
        <f t="shared" si="14"/>
        <v>368</v>
      </c>
      <c r="C42" s="20">
        <f t="shared" si="15"/>
        <v>0</v>
      </c>
      <c r="D42" s="20">
        <f t="shared" si="12"/>
        <v>460</v>
      </c>
      <c r="E42" s="20">
        <f t="shared" si="13"/>
        <v>150</v>
      </c>
      <c r="F42" s="21" t="s">
        <v>15</v>
      </c>
      <c r="G42" s="21" t="s">
        <v>67</v>
      </c>
      <c r="H42" s="22" t="str">
        <f t="shared" si="11"/>
        <v xml:space="preserve"> --export-png="C:\Users\Kamil_A\Desktop\centauri\res\rockets\rocket_4_s.png" "C:\Users\Kamil_A\Desktop\centauri\rockets.svg"  --export-area=368:0:460:150</v>
      </c>
    </row>
    <row r="43" spans="2:8" x14ac:dyDescent="0.25">
      <c r="B43" s="20">
        <f t="shared" si="14"/>
        <v>460</v>
      </c>
      <c r="C43" s="20">
        <f t="shared" si="15"/>
        <v>0</v>
      </c>
      <c r="D43" s="20">
        <f t="shared" si="12"/>
        <v>552</v>
      </c>
      <c r="E43" s="20">
        <f t="shared" si="13"/>
        <v>150</v>
      </c>
      <c r="F43" s="21" t="s">
        <v>15</v>
      </c>
      <c r="G43" s="21" t="s">
        <v>68</v>
      </c>
      <c r="H43" s="22" t="str">
        <f t="shared" si="11"/>
        <v xml:space="preserve"> --export-png="C:\Users\Kamil_A\Desktop\centauri\res\rockets\rocket_5_s.png" "C:\Users\Kamil_A\Desktop\centauri\rockets.svg"  --export-area=460:0:552:150</v>
      </c>
    </row>
    <row r="44" spans="2:8" x14ac:dyDescent="0.25">
      <c r="B44" s="20">
        <f t="shared" si="14"/>
        <v>552</v>
      </c>
      <c r="C44" s="20">
        <f t="shared" si="15"/>
        <v>0</v>
      </c>
      <c r="D44" s="20">
        <f t="shared" si="12"/>
        <v>644</v>
      </c>
      <c r="E44" s="20">
        <f t="shared" si="13"/>
        <v>150</v>
      </c>
      <c r="F44" s="21" t="s">
        <v>15</v>
      </c>
      <c r="G44" s="21" t="s">
        <v>69</v>
      </c>
      <c r="H44" s="22" t="str">
        <f t="shared" si="11"/>
        <v xml:space="preserve"> --export-png="C:\Users\Kamil_A\Desktop\centauri\res\rockets\rocket_6_s.png" "C:\Users\Kamil_A\Desktop\centauri\rockets.svg"  --export-area=552:0:644:150</v>
      </c>
    </row>
    <row r="45" spans="2:8" x14ac:dyDescent="0.25">
      <c r="B45" s="20">
        <f t="shared" si="14"/>
        <v>644</v>
      </c>
      <c r="C45" s="20">
        <f t="shared" si="15"/>
        <v>0</v>
      </c>
      <c r="D45" s="20">
        <f t="shared" si="12"/>
        <v>736</v>
      </c>
      <c r="E45" s="20">
        <f t="shared" si="13"/>
        <v>150</v>
      </c>
      <c r="F45" s="21" t="s">
        <v>15</v>
      </c>
      <c r="G45" s="21" t="s">
        <v>70</v>
      </c>
      <c r="H45" s="22" t="str">
        <f t="shared" si="11"/>
        <v xml:space="preserve"> --export-png="C:\Users\Kamil_A\Desktop\centauri\res\rockets\rocket_7_s.png" "C:\Users\Kamil_A\Desktop\centauri\rockets.svg"  --export-area=644:0:736:150</v>
      </c>
    </row>
    <row r="46" spans="2:8" x14ac:dyDescent="0.25">
      <c r="B46" s="20">
        <f t="shared" si="14"/>
        <v>736</v>
      </c>
      <c r="C46" s="20">
        <f t="shared" si="15"/>
        <v>0</v>
      </c>
      <c r="D46" s="20">
        <f t="shared" si="12"/>
        <v>828</v>
      </c>
      <c r="E46" s="20">
        <f t="shared" si="13"/>
        <v>150</v>
      </c>
      <c r="F46" s="21" t="s">
        <v>15</v>
      </c>
      <c r="G46" s="21" t="s">
        <v>71</v>
      </c>
      <c r="H46" s="22" t="str">
        <f t="shared" si="11"/>
        <v xml:space="preserve"> --export-png="C:\Users\Kamil_A\Desktop\centauri\res\rockets\rocket_8_s.png" "C:\Users\Kamil_A\Desktop\centauri\rockets.svg"  --export-area=736:0:828:150</v>
      </c>
    </row>
    <row r="47" spans="2:8" x14ac:dyDescent="0.25">
      <c r="B47" s="20">
        <f t="shared" si="14"/>
        <v>828</v>
      </c>
      <c r="C47" s="20">
        <f t="shared" si="15"/>
        <v>0</v>
      </c>
      <c r="D47" s="20">
        <f t="shared" si="12"/>
        <v>920</v>
      </c>
      <c r="E47" s="20">
        <f t="shared" si="13"/>
        <v>150</v>
      </c>
      <c r="F47" s="21" t="s">
        <v>15</v>
      </c>
      <c r="G47" s="21" t="s">
        <v>72</v>
      </c>
      <c r="H47" s="22" t="str">
        <f t="shared" si="11"/>
        <v xml:space="preserve"> --export-png="C:\Users\Kamil_A\Desktop\centauri\res\rockets\rocket_9_s.png" "C:\Users\Kamil_A\Desktop\centauri\rockets.svg"  --export-area=828:0:920:150</v>
      </c>
    </row>
    <row r="48" spans="2:8" x14ac:dyDescent="0.25">
      <c r="B48" s="20">
        <f t="shared" si="14"/>
        <v>920</v>
      </c>
      <c r="C48" s="20">
        <f t="shared" si="15"/>
        <v>0</v>
      </c>
      <c r="D48" s="20">
        <f t="shared" si="12"/>
        <v>1012</v>
      </c>
      <c r="E48" s="20">
        <f t="shared" si="13"/>
        <v>150</v>
      </c>
      <c r="F48" s="21" t="s">
        <v>15</v>
      </c>
      <c r="G48" s="21" t="s">
        <v>73</v>
      </c>
      <c r="H48" s="22" t="str">
        <f t="shared" si="11"/>
        <v xml:space="preserve"> --export-png="C:\Users\Kamil_A\Desktop\centauri\res\rockets\rocket_10_s.png" "C:\Users\Kamil_A\Desktop\centauri\rockets.svg"  --export-area=920:0:1012:150</v>
      </c>
    </row>
    <row r="49" spans="2:8" x14ac:dyDescent="0.25">
      <c r="B49" s="20">
        <f t="shared" si="14"/>
        <v>1012</v>
      </c>
      <c r="C49" s="20">
        <f t="shared" si="15"/>
        <v>0</v>
      </c>
      <c r="D49" s="20">
        <f t="shared" si="12"/>
        <v>1104</v>
      </c>
      <c r="E49" s="20">
        <f t="shared" si="13"/>
        <v>150</v>
      </c>
      <c r="F49" s="21" t="s">
        <v>15</v>
      </c>
      <c r="G49" s="21" t="s">
        <v>74</v>
      </c>
      <c r="H49" s="22" t="str">
        <f t="shared" si="11"/>
        <v xml:space="preserve"> --export-png="C:\Users\Kamil_A\Desktop\centauri\res\rockets\rocket_11_s.png" "C:\Users\Kamil_A\Desktop\centauri\rockets.svg"  --export-area=1012:0:1104:150</v>
      </c>
    </row>
    <row r="50" spans="2:8" x14ac:dyDescent="0.25">
      <c r="B50" s="20">
        <f t="shared" si="14"/>
        <v>1104</v>
      </c>
      <c r="C50" s="20">
        <f t="shared" si="15"/>
        <v>0</v>
      </c>
      <c r="D50" s="20">
        <f t="shared" si="12"/>
        <v>1196</v>
      </c>
      <c r="E50" s="20">
        <f t="shared" si="13"/>
        <v>150</v>
      </c>
      <c r="F50" s="21" t="s">
        <v>15</v>
      </c>
      <c r="G50" s="21" t="s">
        <v>75</v>
      </c>
      <c r="H50" s="22" t="str">
        <f t="shared" si="11"/>
        <v xml:space="preserve"> --export-png="C:\Users\Kamil_A\Desktop\centauri\res\rockets\rocket_12_s.png" "C:\Users\Kamil_A\Desktop\centauri\rockets.svg"  --export-area=1104:0:1196:150</v>
      </c>
    </row>
    <row r="51" spans="2:8" x14ac:dyDescent="0.25">
      <c r="B51" s="20">
        <f t="shared" si="14"/>
        <v>1196</v>
      </c>
      <c r="C51" s="20">
        <f t="shared" si="15"/>
        <v>0</v>
      </c>
      <c r="D51" s="20">
        <f t="shared" si="12"/>
        <v>1288</v>
      </c>
      <c r="E51" s="20">
        <f t="shared" si="13"/>
        <v>150</v>
      </c>
      <c r="F51" s="21" t="s">
        <v>15</v>
      </c>
      <c r="G51" s="21" t="s">
        <v>76</v>
      </c>
      <c r="H51" s="22" t="str">
        <f t="shared" si="11"/>
        <v xml:space="preserve"> --export-png="C:\Users\Kamil_A\Desktop\centauri\res\rockets\rocket_13_s.png" "C:\Users\Kamil_A\Desktop\centauri\rockets.svg"  --export-area=1196:0:1288:150</v>
      </c>
    </row>
    <row r="52" spans="2:8" x14ac:dyDescent="0.25">
      <c r="B52" s="12">
        <v>0</v>
      </c>
      <c r="C52" s="12">
        <v>0</v>
      </c>
      <c r="D52" s="12">
        <f>B52+200</f>
        <v>200</v>
      </c>
      <c r="E52" s="12">
        <f>C52+350</f>
        <v>350</v>
      </c>
      <c r="F52" s="13" t="s">
        <v>105</v>
      </c>
      <c r="G52" s="13" t="s">
        <v>91</v>
      </c>
      <c r="H52" s="11" t="str">
        <f t="shared" si="11"/>
        <v xml:space="preserve"> --export-png="C:\Users\Kamil_A\Desktop\centauri\res\big_rockets\rocket_0_0.png" "C:\Users\Kamil_A\Desktop\centauri\big_rockets.svg"  --export-area=0:0:200:350</v>
      </c>
    </row>
    <row r="53" spans="2:8" x14ac:dyDescent="0.25">
      <c r="B53" s="12">
        <f>B52+200</f>
        <v>200</v>
      </c>
      <c r="C53" s="12">
        <f>C52</f>
        <v>0</v>
      </c>
      <c r="D53" s="12">
        <f t="shared" ref="D53:D65" si="16">B53+200</f>
        <v>400</v>
      </c>
      <c r="E53" s="12">
        <f t="shared" ref="E53:E65" si="17">C53+350</f>
        <v>350</v>
      </c>
      <c r="F53" s="13" t="s">
        <v>105</v>
      </c>
      <c r="G53" s="13" t="s">
        <v>92</v>
      </c>
      <c r="H53" s="11" t="str">
        <f t="shared" si="11"/>
        <v xml:space="preserve"> --export-png="C:\Users\Kamil_A\Desktop\centauri\res\big_rockets\rocket_1_0.png" "C:\Users\Kamil_A\Desktop\centauri\big_rockets.svg"  --export-area=200:0:400:350</v>
      </c>
    </row>
    <row r="54" spans="2:8" x14ac:dyDescent="0.25">
      <c r="B54" s="12">
        <f t="shared" ref="B54:B65" si="18">B53+200</f>
        <v>400</v>
      </c>
      <c r="C54" s="12">
        <f t="shared" ref="C54:C65" si="19">C53</f>
        <v>0</v>
      </c>
      <c r="D54" s="12">
        <f t="shared" si="16"/>
        <v>600</v>
      </c>
      <c r="E54" s="12">
        <f t="shared" si="17"/>
        <v>350</v>
      </c>
      <c r="F54" s="13" t="s">
        <v>105</v>
      </c>
      <c r="G54" s="13" t="s">
        <v>93</v>
      </c>
      <c r="H54" s="11" t="str">
        <f t="shared" si="11"/>
        <v xml:space="preserve"> --export-png="C:\Users\Kamil_A\Desktop\centauri\res\big_rockets\rocket_2_0.png" "C:\Users\Kamil_A\Desktop\centauri\big_rockets.svg"  --export-area=400:0:600:350</v>
      </c>
    </row>
    <row r="55" spans="2:8" x14ac:dyDescent="0.25">
      <c r="B55" s="12">
        <f t="shared" si="18"/>
        <v>600</v>
      </c>
      <c r="C55" s="12">
        <f t="shared" si="19"/>
        <v>0</v>
      </c>
      <c r="D55" s="12">
        <f t="shared" si="16"/>
        <v>800</v>
      </c>
      <c r="E55" s="12">
        <f t="shared" si="17"/>
        <v>350</v>
      </c>
      <c r="F55" s="13" t="s">
        <v>105</v>
      </c>
      <c r="G55" s="13" t="s">
        <v>94</v>
      </c>
      <c r="H55" s="11" t="str">
        <f t="shared" si="11"/>
        <v xml:space="preserve"> --export-png="C:\Users\Kamil_A\Desktop\centauri\res\big_rockets\rocket_3_0.png" "C:\Users\Kamil_A\Desktop\centauri\big_rockets.svg"  --export-area=600:0:800:350</v>
      </c>
    </row>
    <row r="56" spans="2:8" x14ac:dyDescent="0.25">
      <c r="B56" s="12">
        <f t="shared" si="18"/>
        <v>800</v>
      </c>
      <c r="C56" s="12">
        <f t="shared" si="19"/>
        <v>0</v>
      </c>
      <c r="D56" s="12">
        <f t="shared" si="16"/>
        <v>1000</v>
      </c>
      <c r="E56" s="12">
        <f t="shared" si="17"/>
        <v>350</v>
      </c>
      <c r="F56" s="13" t="s">
        <v>105</v>
      </c>
      <c r="G56" s="13" t="s">
        <v>95</v>
      </c>
      <c r="H56" s="11" t="str">
        <f t="shared" si="11"/>
        <v xml:space="preserve"> --export-png="C:\Users\Kamil_A\Desktop\centauri\res\big_rockets\rocket_4_0.png" "C:\Users\Kamil_A\Desktop\centauri\big_rockets.svg"  --export-area=800:0:1000:350</v>
      </c>
    </row>
    <row r="57" spans="2:8" x14ac:dyDescent="0.25">
      <c r="B57" s="12">
        <f t="shared" si="18"/>
        <v>1000</v>
      </c>
      <c r="C57" s="12">
        <f t="shared" si="19"/>
        <v>0</v>
      </c>
      <c r="D57" s="12">
        <f t="shared" si="16"/>
        <v>1200</v>
      </c>
      <c r="E57" s="12">
        <f t="shared" si="17"/>
        <v>350</v>
      </c>
      <c r="F57" s="13" t="s">
        <v>105</v>
      </c>
      <c r="G57" s="13" t="s">
        <v>96</v>
      </c>
      <c r="H57" s="11" t="str">
        <f t="shared" si="11"/>
        <v xml:space="preserve"> --export-png="C:\Users\Kamil_A\Desktop\centauri\res\big_rockets\rocket_5_0.png" "C:\Users\Kamil_A\Desktop\centauri\big_rockets.svg"  --export-area=1000:0:1200:350</v>
      </c>
    </row>
    <row r="58" spans="2:8" x14ac:dyDescent="0.25">
      <c r="B58" s="12">
        <f t="shared" si="18"/>
        <v>1200</v>
      </c>
      <c r="C58" s="12">
        <f t="shared" si="19"/>
        <v>0</v>
      </c>
      <c r="D58" s="12">
        <f t="shared" si="16"/>
        <v>1400</v>
      </c>
      <c r="E58" s="12">
        <f t="shared" si="17"/>
        <v>350</v>
      </c>
      <c r="F58" s="13" t="s">
        <v>105</v>
      </c>
      <c r="G58" s="13" t="s">
        <v>97</v>
      </c>
      <c r="H58" s="11" t="str">
        <f t="shared" si="11"/>
        <v xml:space="preserve"> --export-png="C:\Users\Kamil_A\Desktop\centauri\res\big_rockets\rocket_6_0.png" "C:\Users\Kamil_A\Desktop\centauri\big_rockets.svg"  --export-area=1200:0:1400:350</v>
      </c>
    </row>
    <row r="59" spans="2:8" x14ac:dyDescent="0.25">
      <c r="B59" s="12">
        <f t="shared" si="18"/>
        <v>1400</v>
      </c>
      <c r="C59" s="12">
        <f t="shared" si="19"/>
        <v>0</v>
      </c>
      <c r="D59" s="12">
        <f t="shared" si="16"/>
        <v>1600</v>
      </c>
      <c r="E59" s="12">
        <f t="shared" si="17"/>
        <v>350</v>
      </c>
      <c r="F59" s="13" t="s">
        <v>105</v>
      </c>
      <c r="G59" s="13" t="s">
        <v>98</v>
      </c>
      <c r="H59" s="11" t="str">
        <f t="shared" si="11"/>
        <v xml:space="preserve"> --export-png="C:\Users\Kamil_A\Desktop\centauri\res\big_rockets\rocket_7_0.png" "C:\Users\Kamil_A\Desktop\centauri\big_rockets.svg"  --export-area=1400:0:1600:350</v>
      </c>
    </row>
    <row r="60" spans="2:8" x14ac:dyDescent="0.25">
      <c r="B60" s="12">
        <f t="shared" si="18"/>
        <v>1600</v>
      </c>
      <c r="C60" s="12">
        <f t="shared" si="19"/>
        <v>0</v>
      </c>
      <c r="D60" s="12">
        <f t="shared" si="16"/>
        <v>1800</v>
      </c>
      <c r="E60" s="12">
        <f t="shared" si="17"/>
        <v>350</v>
      </c>
      <c r="F60" s="13" t="s">
        <v>105</v>
      </c>
      <c r="G60" s="13" t="s">
        <v>99</v>
      </c>
      <c r="H60" s="11" t="str">
        <f t="shared" si="11"/>
        <v xml:space="preserve"> --export-png="C:\Users\Kamil_A\Desktop\centauri\res\big_rockets\rocket_8_0.png" "C:\Users\Kamil_A\Desktop\centauri\big_rockets.svg"  --export-area=1600:0:1800:350</v>
      </c>
    </row>
    <row r="61" spans="2:8" x14ac:dyDescent="0.25">
      <c r="B61" s="12">
        <f t="shared" si="18"/>
        <v>1800</v>
      </c>
      <c r="C61" s="12">
        <f t="shared" si="19"/>
        <v>0</v>
      </c>
      <c r="D61" s="12">
        <f t="shared" si="16"/>
        <v>2000</v>
      </c>
      <c r="E61" s="12">
        <f t="shared" si="17"/>
        <v>350</v>
      </c>
      <c r="F61" s="13" t="s">
        <v>105</v>
      </c>
      <c r="G61" s="13" t="s">
        <v>100</v>
      </c>
      <c r="H61" s="11" t="str">
        <f t="shared" si="11"/>
        <v xml:space="preserve"> --export-png="C:\Users\Kamil_A\Desktop\centauri\res\big_rockets\rocket_9_0.png" "C:\Users\Kamil_A\Desktop\centauri\big_rockets.svg"  --export-area=1800:0:2000:350</v>
      </c>
    </row>
    <row r="62" spans="2:8" x14ac:dyDescent="0.25">
      <c r="B62" s="12">
        <f t="shared" si="18"/>
        <v>2000</v>
      </c>
      <c r="C62" s="12">
        <f t="shared" si="19"/>
        <v>0</v>
      </c>
      <c r="D62" s="12">
        <f t="shared" si="16"/>
        <v>2200</v>
      </c>
      <c r="E62" s="12">
        <f t="shared" si="17"/>
        <v>350</v>
      </c>
      <c r="F62" s="13" t="s">
        <v>105</v>
      </c>
      <c r="G62" s="13" t="s">
        <v>101</v>
      </c>
      <c r="H62" s="11" t="str">
        <f t="shared" si="11"/>
        <v xml:space="preserve"> --export-png="C:\Users\Kamil_A\Desktop\centauri\res\big_rockets\rocket_10_0.png" "C:\Users\Kamil_A\Desktop\centauri\big_rockets.svg"  --export-area=2000:0:2200:350</v>
      </c>
    </row>
    <row r="63" spans="2:8" x14ac:dyDescent="0.25">
      <c r="B63" s="12">
        <f t="shared" si="18"/>
        <v>2200</v>
      </c>
      <c r="C63" s="12">
        <f t="shared" si="19"/>
        <v>0</v>
      </c>
      <c r="D63" s="12">
        <f t="shared" si="16"/>
        <v>2400</v>
      </c>
      <c r="E63" s="12">
        <f t="shared" si="17"/>
        <v>350</v>
      </c>
      <c r="F63" s="13" t="s">
        <v>105</v>
      </c>
      <c r="G63" s="13" t="s">
        <v>102</v>
      </c>
      <c r="H63" s="11" t="str">
        <f t="shared" si="11"/>
        <v xml:space="preserve"> --export-png="C:\Users\Kamil_A\Desktop\centauri\res\big_rockets\rocket_11_0.png" "C:\Users\Kamil_A\Desktop\centauri\big_rockets.svg"  --export-area=2200:0:2400:350</v>
      </c>
    </row>
    <row r="64" spans="2:8" x14ac:dyDescent="0.25">
      <c r="B64" s="12">
        <f t="shared" si="18"/>
        <v>2400</v>
      </c>
      <c r="C64" s="12">
        <f t="shared" si="19"/>
        <v>0</v>
      </c>
      <c r="D64" s="12">
        <f t="shared" si="16"/>
        <v>2600</v>
      </c>
      <c r="E64" s="12">
        <f t="shared" si="17"/>
        <v>350</v>
      </c>
      <c r="F64" s="13" t="s">
        <v>105</v>
      </c>
      <c r="G64" s="13" t="s">
        <v>103</v>
      </c>
      <c r="H64" s="11" t="str">
        <f t="shared" si="11"/>
        <v xml:space="preserve"> --export-png="C:\Users\Kamil_A\Desktop\centauri\res\big_rockets\rocket_12_0.png" "C:\Users\Kamil_A\Desktop\centauri\big_rockets.svg"  --export-area=2400:0:2600:350</v>
      </c>
    </row>
    <row r="65" spans="2:8" x14ac:dyDescent="0.25">
      <c r="B65" s="12">
        <f t="shared" si="18"/>
        <v>2600</v>
      </c>
      <c r="C65" s="12">
        <f t="shared" si="19"/>
        <v>0</v>
      </c>
      <c r="D65" s="12">
        <f t="shared" si="16"/>
        <v>2800</v>
      </c>
      <c r="E65" s="12">
        <f t="shared" si="17"/>
        <v>350</v>
      </c>
      <c r="F65" s="13" t="s">
        <v>105</v>
      </c>
      <c r="G65" s="13" t="s">
        <v>104</v>
      </c>
      <c r="H65" s="11" t="str">
        <f t="shared" si="11"/>
        <v xml:space="preserve"> --export-png="C:\Users\Kamil_A\Desktop\centauri\res\big_rockets\rocket_13_0.png" "C:\Users\Kamil_A\Desktop\centauri\big_rockets.svg"  --export-area=2600:0:2800:350</v>
      </c>
    </row>
    <row r="66" spans="2:8" x14ac:dyDescent="0.25">
      <c r="B66" s="24">
        <v>0</v>
      </c>
      <c r="C66" s="24">
        <v>350</v>
      </c>
      <c r="D66" s="24">
        <f>B66+200</f>
        <v>200</v>
      </c>
      <c r="E66" s="24">
        <f>C66+350</f>
        <v>700</v>
      </c>
      <c r="F66" s="25" t="s">
        <v>105</v>
      </c>
      <c r="G66" s="25" t="s">
        <v>77</v>
      </c>
      <c r="H66" s="26" t="str">
        <f t="shared" ref="H66:H79" si="20">" --export-png="""&amp;$H$1&amp;G66&amp;""" """&amp;$H$1&amp;F66&amp;"""  --export-area="&amp;B66&amp;":"&amp;C66&amp;":"&amp;D66&amp;":"&amp;E66</f>
        <v xml:space="preserve"> --export-png="C:\Users\Kamil_A\Desktop\centauri\res\big_rockets\rocket_0_1.png" "C:\Users\Kamil_A\Desktop\centauri\big_rockets.svg"  --export-area=0:350:200:700</v>
      </c>
    </row>
    <row r="67" spans="2:8" x14ac:dyDescent="0.25">
      <c r="B67" s="24">
        <f>B66+200</f>
        <v>200</v>
      </c>
      <c r="C67" s="24">
        <f>C66</f>
        <v>350</v>
      </c>
      <c r="D67" s="24">
        <f t="shared" ref="D67:D79" si="21">B67+200</f>
        <v>400</v>
      </c>
      <c r="E67" s="24">
        <f t="shared" ref="E67:E79" si="22">C67+350</f>
        <v>700</v>
      </c>
      <c r="F67" s="25" t="s">
        <v>105</v>
      </c>
      <c r="G67" s="25" t="s">
        <v>78</v>
      </c>
      <c r="H67" s="26" t="str">
        <f t="shared" si="20"/>
        <v xml:space="preserve"> --export-png="C:\Users\Kamil_A\Desktop\centauri\res\big_rockets\rocket_1_1.png" "C:\Users\Kamil_A\Desktop\centauri\big_rockets.svg"  --export-area=200:350:400:700</v>
      </c>
    </row>
    <row r="68" spans="2:8" x14ac:dyDescent="0.25">
      <c r="B68" s="24">
        <f t="shared" ref="B68:B79" si="23">B67+200</f>
        <v>400</v>
      </c>
      <c r="C68" s="24">
        <f t="shared" ref="C68:C79" si="24">C67</f>
        <v>350</v>
      </c>
      <c r="D68" s="24">
        <f t="shared" si="21"/>
        <v>600</v>
      </c>
      <c r="E68" s="24">
        <f t="shared" si="22"/>
        <v>700</v>
      </c>
      <c r="F68" s="25" t="s">
        <v>105</v>
      </c>
      <c r="G68" s="25" t="s">
        <v>79</v>
      </c>
      <c r="H68" s="26" t="str">
        <f t="shared" si="20"/>
        <v xml:space="preserve"> --export-png="C:\Users\Kamil_A\Desktop\centauri\res\big_rockets\rocket_2_1.png" "C:\Users\Kamil_A\Desktop\centauri\big_rockets.svg"  --export-area=400:350:600:700</v>
      </c>
    </row>
    <row r="69" spans="2:8" x14ac:dyDescent="0.25">
      <c r="B69" s="24">
        <f t="shared" si="23"/>
        <v>600</v>
      </c>
      <c r="C69" s="24">
        <f t="shared" si="24"/>
        <v>350</v>
      </c>
      <c r="D69" s="24">
        <f t="shared" si="21"/>
        <v>800</v>
      </c>
      <c r="E69" s="24">
        <f t="shared" si="22"/>
        <v>700</v>
      </c>
      <c r="F69" s="25" t="s">
        <v>105</v>
      </c>
      <c r="G69" s="25" t="s">
        <v>80</v>
      </c>
      <c r="H69" s="26" t="str">
        <f t="shared" si="20"/>
        <v xml:space="preserve"> --export-png="C:\Users\Kamil_A\Desktop\centauri\res\big_rockets\rocket_3_1.png" "C:\Users\Kamil_A\Desktop\centauri\big_rockets.svg"  --export-area=600:350:800:700</v>
      </c>
    </row>
    <row r="70" spans="2:8" x14ac:dyDescent="0.25">
      <c r="B70" s="24">
        <f t="shared" si="23"/>
        <v>800</v>
      </c>
      <c r="C70" s="24">
        <f t="shared" si="24"/>
        <v>350</v>
      </c>
      <c r="D70" s="24">
        <f t="shared" si="21"/>
        <v>1000</v>
      </c>
      <c r="E70" s="24">
        <f t="shared" si="22"/>
        <v>700</v>
      </c>
      <c r="F70" s="25" t="s">
        <v>105</v>
      </c>
      <c r="G70" s="25" t="s">
        <v>81</v>
      </c>
      <c r="H70" s="26" t="str">
        <f t="shared" si="20"/>
        <v xml:space="preserve"> --export-png="C:\Users\Kamil_A\Desktop\centauri\res\big_rockets\rocket_4_1.png" "C:\Users\Kamil_A\Desktop\centauri\big_rockets.svg"  --export-area=800:350:1000:700</v>
      </c>
    </row>
    <row r="71" spans="2:8" x14ac:dyDescent="0.25">
      <c r="B71" s="24">
        <f t="shared" si="23"/>
        <v>1000</v>
      </c>
      <c r="C71" s="24">
        <f t="shared" si="24"/>
        <v>350</v>
      </c>
      <c r="D71" s="24">
        <f t="shared" si="21"/>
        <v>1200</v>
      </c>
      <c r="E71" s="24">
        <f t="shared" si="22"/>
        <v>700</v>
      </c>
      <c r="F71" s="25" t="s">
        <v>105</v>
      </c>
      <c r="G71" s="25" t="s">
        <v>82</v>
      </c>
      <c r="H71" s="26" t="str">
        <f t="shared" si="20"/>
        <v xml:space="preserve"> --export-png="C:\Users\Kamil_A\Desktop\centauri\res\big_rockets\rocket_5_1.png" "C:\Users\Kamil_A\Desktop\centauri\big_rockets.svg"  --export-area=1000:350:1200:700</v>
      </c>
    </row>
    <row r="72" spans="2:8" x14ac:dyDescent="0.25">
      <c r="B72" s="24">
        <f t="shared" si="23"/>
        <v>1200</v>
      </c>
      <c r="C72" s="24">
        <f t="shared" si="24"/>
        <v>350</v>
      </c>
      <c r="D72" s="24">
        <f t="shared" si="21"/>
        <v>1400</v>
      </c>
      <c r="E72" s="24">
        <f t="shared" si="22"/>
        <v>700</v>
      </c>
      <c r="F72" s="25" t="s">
        <v>105</v>
      </c>
      <c r="G72" s="25" t="s">
        <v>83</v>
      </c>
      <c r="H72" s="26" t="str">
        <f t="shared" si="20"/>
        <v xml:space="preserve"> --export-png="C:\Users\Kamil_A\Desktop\centauri\res\big_rockets\rocket_6_1.png" "C:\Users\Kamil_A\Desktop\centauri\big_rockets.svg"  --export-area=1200:350:1400:700</v>
      </c>
    </row>
    <row r="73" spans="2:8" x14ac:dyDescent="0.25">
      <c r="B73" s="24">
        <f t="shared" si="23"/>
        <v>1400</v>
      </c>
      <c r="C73" s="24">
        <f t="shared" si="24"/>
        <v>350</v>
      </c>
      <c r="D73" s="24">
        <f t="shared" si="21"/>
        <v>1600</v>
      </c>
      <c r="E73" s="24">
        <f t="shared" si="22"/>
        <v>700</v>
      </c>
      <c r="F73" s="25" t="s">
        <v>105</v>
      </c>
      <c r="G73" s="25" t="s">
        <v>84</v>
      </c>
      <c r="H73" s="26" t="str">
        <f t="shared" si="20"/>
        <v xml:space="preserve"> --export-png="C:\Users\Kamil_A\Desktop\centauri\res\big_rockets\rocket_7_1.png" "C:\Users\Kamil_A\Desktop\centauri\big_rockets.svg"  --export-area=1400:350:1600:700</v>
      </c>
    </row>
    <row r="74" spans="2:8" x14ac:dyDescent="0.25">
      <c r="B74" s="24">
        <f t="shared" si="23"/>
        <v>1600</v>
      </c>
      <c r="C74" s="24">
        <f t="shared" si="24"/>
        <v>350</v>
      </c>
      <c r="D74" s="24">
        <f t="shared" si="21"/>
        <v>1800</v>
      </c>
      <c r="E74" s="24">
        <f t="shared" si="22"/>
        <v>700</v>
      </c>
      <c r="F74" s="25" t="s">
        <v>105</v>
      </c>
      <c r="G74" s="25" t="s">
        <v>85</v>
      </c>
      <c r="H74" s="26" t="str">
        <f t="shared" si="20"/>
        <v xml:space="preserve"> --export-png="C:\Users\Kamil_A\Desktop\centauri\res\big_rockets\rocket_8_1.png" "C:\Users\Kamil_A\Desktop\centauri\big_rockets.svg"  --export-area=1600:350:1800:700</v>
      </c>
    </row>
    <row r="75" spans="2:8" x14ac:dyDescent="0.25">
      <c r="B75" s="24">
        <f t="shared" si="23"/>
        <v>1800</v>
      </c>
      <c r="C75" s="24">
        <f t="shared" si="24"/>
        <v>350</v>
      </c>
      <c r="D75" s="24">
        <f t="shared" si="21"/>
        <v>2000</v>
      </c>
      <c r="E75" s="24">
        <f t="shared" si="22"/>
        <v>700</v>
      </c>
      <c r="F75" s="25" t="s">
        <v>105</v>
      </c>
      <c r="G75" s="25" t="s">
        <v>86</v>
      </c>
      <c r="H75" s="26" t="str">
        <f t="shared" si="20"/>
        <v xml:space="preserve"> --export-png="C:\Users\Kamil_A\Desktop\centauri\res\big_rockets\rocket_9_1.png" "C:\Users\Kamil_A\Desktop\centauri\big_rockets.svg"  --export-area=1800:350:2000:700</v>
      </c>
    </row>
    <row r="76" spans="2:8" x14ac:dyDescent="0.25">
      <c r="B76" s="24">
        <f t="shared" si="23"/>
        <v>2000</v>
      </c>
      <c r="C76" s="24">
        <f t="shared" si="24"/>
        <v>350</v>
      </c>
      <c r="D76" s="24">
        <f t="shared" si="21"/>
        <v>2200</v>
      </c>
      <c r="E76" s="24">
        <f t="shared" si="22"/>
        <v>700</v>
      </c>
      <c r="F76" s="25" t="s">
        <v>105</v>
      </c>
      <c r="G76" s="25" t="s">
        <v>87</v>
      </c>
      <c r="H76" s="26" t="str">
        <f t="shared" si="20"/>
        <v xml:space="preserve"> --export-png="C:\Users\Kamil_A\Desktop\centauri\res\big_rockets\rocket_10_1.png" "C:\Users\Kamil_A\Desktop\centauri\big_rockets.svg"  --export-area=2000:350:2200:700</v>
      </c>
    </row>
    <row r="77" spans="2:8" x14ac:dyDescent="0.25">
      <c r="B77" s="24">
        <f t="shared" si="23"/>
        <v>2200</v>
      </c>
      <c r="C77" s="24">
        <f t="shared" si="24"/>
        <v>350</v>
      </c>
      <c r="D77" s="24">
        <f t="shared" si="21"/>
        <v>2400</v>
      </c>
      <c r="E77" s="24">
        <f t="shared" si="22"/>
        <v>700</v>
      </c>
      <c r="F77" s="25" t="s">
        <v>105</v>
      </c>
      <c r="G77" s="25" t="s">
        <v>88</v>
      </c>
      <c r="H77" s="26" t="str">
        <f t="shared" si="20"/>
        <v xml:space="preserve"> --export-png="C:\Users\Kamil_A\Desktop\centauri\res\big_rockets\rocket_11_1.png" "C:\Users\Kamil_A\Desktop\centauri\big_rockets.svg"  --export-area=2200:350:2400:700</v>
      </c>
    </row>
    <row r="78" spans="2:8" x14ac:dyDescent="0.25">
      <c r="B78" s="24">
        <f t="shared" si="23"/>
        <v>2400</v>
      </c>
      <c r="C78" s="24">
        <f t="shared" si="24"/>
        <v>350</v>
      </c>
      <c r="D78" s="24">
        <f t="shared" si="21"/>
        <v>2600</v>
      </c>
      <c r="E78" s="24">
        <f t="shared" si="22"/>
        <v>700</v>
      </c>
      <c r="F78" s="25" t="s">
        <v>105</v>
      </c>
      <c r="G78" s="25" t="s">
        <v>89</v>
      </c>
      <c r="H78" s="26" t="str">
        <f t="shared" si="20"/>
        <v xml:space="preserve"> --export-png="C:\Users\Kamil_A\Desktop\centauri\res\big_rockets\rocket_12_1.png" "C:\Users\Kamil_A\Desktop\centauri\big_rockets.svg"  --export-area=2400:350:2600:700</v>
      </c>
    </row>
    <row r="79" spans="2:8" x14ac:dyDescent="0.25">
      <c r="B79" s="24">
        <f t="shared" si="23"/>
        <v>2600</v>
      </c>
      <c r="C79" s="24">
        <f t="shared" si="24"/>
        <v>350</v>
      </c>
      <c r="D79" s="24">
        <f t="shared" si="21"/>
        <v>2800</v>
      </c>
      <c r="E79" s="24">
        <f t="shared" si="22"/>
        <v>700</v>
      </c>
      <c r="F79" s="25" t="s">
        <v>105</v>
      </c>
      <c r="G79" s="25" t="s">
        <v>90</v>
      </c>
      <c r="H79" s="26" t="str">
        <f t="shared" si="20"/>
        <v xml:space="preserve"> --export-png="C:\Users\Kamil_A\Desktop\centauri\res\big_rockets\rocket_13_1.png" "C:\Users\Kamil_A\Desktop\centauri\big_rockets.svg"  --export-area=2600:350:2800:700</v>
      </c>
    </row>
    <row r="80" spans="2:8" x14ac:dyDescent="0.25">
      <c r="B80" s="9">
        <v>875</v>
      </c>
      <c r="C80" s="9">
        <v>225</v>
      </c>
      <c r="D80" s="9">
        <f>B80+50</f>
        <v>925</v>
      </c>
      <c r="E80" s="9">
        <f>C80+50</f>
        <v>275</v>
      </c>
      <c r="F80" s="10" t="s">
        <v>8</v>
      </c>
      <c r="G80" s="10" t="s">
        <v>21</v>
      </c>
      <c r="H80" s="8" t="str">
        <f t="shared" ref="H80:H86" si="25">" --export-png="""&amp;$H$1&amp;G80&amp;""" """&amp;$H$1&amp;F80&amp;"""  --export-area="&amp;B80&amp;":"&amp;C80&amp;":"&amp;D80&amp;":"&amp;E80</f>
        <v xml:space="preserve"> --export-png="C:\Users\Kamil_A\Desktop\centauri\res\exp.png" "C:\Users\Kamil_A\Desktop\centauri\logo.svg"  --export-area=875:225:925:275</v>
      </c>
    </row>
    <row r="81" spans="2:8" x14ac:dyDescent="0.25">
      <c r="B81" s="9">
        <v>30</v>
      </c>
      <c r="C81" s="9">
        <v>-900</v>
      </c>
      <c r="D81" s="9">
        <v>770</v>
      </c>
      <c r="E81" s="9">
        <v>-850</v>
      </c>
      <c r="F81" s="10" t="s">
        <v>8</v>
      </c>
      <c r="G81" s="10" t="s">
        <v>23</v>
      </c>
      <c r="H81" s="8" t="str">
        <f t="shared" si="25"/>
        <v xml:space="preserve"> --export-png="C:\Users\Kamil_A\Desktop\centauri\res\exp_progress.png" "C:\Users\Kamil_A\Desktop\centauri\logo.svg"  --export-area=30:-900:770:-850</v>
      </c>
    </row>
    <row r="82" spans="2:8" x14ac:dyDescent="0.25">
      <c r="B82" s="9">
        <v>25</v>
      </c>
      <c r="C82" s="9">
        <v>-850</v>
      </c>
      <c r="D82" s="9">
        <v>775</v>
      </c>
      <c r="E82" s="9">
        <v>-800</v>
      </c>
      <c r="F82" s="10" t="s">
        <v>8</v>
      </c>
      <c r="G82" s="10" t="s">
        <v>22</v>
      </c>
      <c r="H82" s="8" t="str">
        <f t="shared" si="25"/>
        <v xml:space="preserve"> --export-png="C:\Users\Kamil_A\Desktop\centauri\res\exp_progress_base.png" "C:\Users\Kamil_A\Desktop\centauri\logo.svg"  --export-area=25:-850:775:-800</v>
      </c>
    </row>
    <row r="83" spans="2:8" x14ac:dyDescent="0.25">
      <c r="B83" s="15">
        <v>0</v>
      </c>
      <c r="C83" s="15">
        <v>-600</v>
      </c>
      <c r="D83" s="15">
        <v>800</v>
      </c>
      <c r="E83" s="15">
        <v>0</v>
      </c>
      <c r="F83" s="16" t="s">
        <v>8</v>
      </c>
      <c r="G83" s="16" t="s">
        <v>24</v>
      </c>
      <c r="H83" s="14" t="str">
        <f t="shared" si="25"/>
        <v xml:space="preserve"> --export-png="C:\Users\Kamil_A\Desktop\centauri\res\upg_scr_bcg.png" "C:\Users\Kamil_A\Desktop\centauri\logo.svg"  --export-area=0:-600:800:0</v>
      </c>
    </row>
    <row r="84" spans="2:8" x14ac:dyDescent="0.25">
      <c r="B84" s="15">
        <v>850</v>
      </c>
      <c r="C84" s="15">
        <v>300</v>
      </c>
      <c r="D84" s="15">
        <v>1325</v>
      </c>
      <c r="E84" s="15">
        <v>325</v>
      </c>
      <c r="F84" s="16" t="s">
        <v>8</v>
      </c>
      <c r="G84" s="16" t="s">
        <v>25</v>
      </c>
      <c r="H84" s="14" t="str">
        <f t="shared" si="25"/>
        <v xml:space="preserve"> --export-png="C:\Users\Kamil_A\Desktop\centauri\res\press_anything.png" "C:\Users\Kamil_A\Desktop\centauri\logo.svg"  --export-area=850:300:1325:325</v>
      </c>
    </row>
    <row r="85" spans="2:8" x14ac:dyDescent="0.25">
      <c r="B85" s="9">
        <v>0</v>
      </c>
      <c r="C85" s="9">
        <v>900</v>
      </c>
      <c r="D85" s="9">
        <f>B85+100</f>
        <v>100</v>
      </c>
      <c r="E85" s="9">
        <f>C85+100</f>
        <v>1000</v>
      </c>
      <c r="F85" s="9" t="s">
        <v>26</v>
      </c>
      <c r="G85" s="10" t="s">
        <v>27</v>
      </c>
      <c r="H85" s="23" t="str">
        <f t="shared" si="25"/>
        <v xml:space="preserve"> --export-png="C:\Users\Kamil_A\Desktop\centauri\res\helicopter_0.png" "C:\Users\Kamil_A\Desktop\centauri\objects.svg"  --export-area=0:900:100:1000</v>
      </c>
    </row>
    <row r="86" spans="2:8" x14ac:dyDescent="0.25">
      <c r="B86" s="9">
        <v>0</v>
      </c>
      <c r="C86" s="9">
        <v>800</v>
      </c>
      <c r="D86" s="9">
        <f>B86+100</f>
        <v>100</v>
      </c>
      <c r="E86" s="9">
        <v>900</v>
      </c>
      <c r="F86" s="9" t="s">
        <v>26</v>
      </c>
      <c r="G86" s="10" t="s">
        <v>28</v>
      </c>
      <c r="H86" s="23" t="str">
        <f t="shared" si="25"/>
        <v xml:space="preserve"> --export-png="C:\Users\Kamil_A\Desktop\centauri\res\helicopter_1.png" "C:\Users\Kamil_A\Desktop\centauri\objects.svg"  --export-area=0:800:100:900</v>
      </c>
    </row>
    <row r="87" spans="2:8" x14ac:dyDescent="0.25">
      <c r="B87" s="9">
        <v>100</v>
      </c>
      <c r="C87" s="9">
        <v>900</v>
      </c>
      <c r="D87" s="9">
        <f>B87+100</f>
        <v>200</v>
      </c>
      <c r="E87" s="9">
        <f>C87+100</f>
        <v>1000</v>
      </c>
      <c r="F87" s="9" t="s">
        <v>26</v>
      </c>
      <c r="G87" s="10" t="s">
        <v>29</v>
      </c>
      <c r="H87" s="23" t="str">
        <f t="shared" ref="H87:H88" si="26">" --export-png="""&amp;$H$1&amp;G87&amp;""" """&amp;$H$1&amp;F87&amp;"""  --export-area="&amp;B87&amp;":"&amp;C87&amp;":"&amp;D87&amp;":"&amp;E87</f>
        <v xml:space="preserve"> --export-png="C:\Users\Kamil_A\Desktop\centauri\res\satellite_0.png" "C:\Users\Kamil_A\Desktop\centauri\objects.svg"  --export-area=100:900:200:1000</v>
      </c>
    </row>
    <row r="88" spans="2:8" x14ac:dyDescent="0.25">
      <c r="B88" s="9">
        <v>100</v>
      </c>
      <c r="C88" s="9">
        <v>800</v>
      </c>
      <c r="D88" s="9">
        <f>B88+100</f>
        <v>200</v>
      </c>
      <c r="E88" s="9">
        <v>900</v>
      </c>
      <c r="F88" s="9" t="s">
        <v>26</v>
      </c>
      <c r="G88" s="10" t="s">
        <v>30</v>
      </c>
      <c r="H88" s="23" t="str">
        <f t="shared" si="26"/>
        <v xml:space="preserve"> --export-png="C:\Users\Kamil_A\Desktop\centauri\res\satellite_1.png" "C:\Users\Kamil_A\Desktop\centauri\objects.svg"  --export-area=100:800:200:900</v>
      </c>
    </row>
    <row r="89" spans="2:8" x14ac:dyDescent="0.25">
      <c r="B89" s="9">
        <v>200</v>
      </c>
      <c r="C89" s="9">
        <v>900</v>
      </c>
      <c r="D89" s="9">
        <f>B89+100</f>
        <v>300</v>
      </c>
      <c r="E89" s="9">
        <f>C89+100</f>
        <v>1000</v>
      </c>
      <c r="F89" s="9" t="s">
        <v>26</v>
      </c>
      <c r="G89" s="10" t="s">
        <v>31</v>
      </c>
      <c r="H89" s="23" t="str">
        <f t="shared" ref="H89:H91" si="27">" --export-png="""&amp;$H$1&amp;G89&amp;""" """&amp;$H$1&amp;F89&amp;"""  --export-area="&amp;B89&amp;":"&amp;C89&amp;":"&amp;D89&amp;":"&amp;E89</f>
        <v xml:space="preserve"> --export-png="C:\Users\Kamil_A\Desktop\centauri\res\alienrocket_0.png" "C:\Users\Kamil_A\Desktop\centauri\objects.svg"  --export-area=200:900:300:1000</v>
      </c>
    </row>
    <row r="90" spans="2:8" x14ac:dyDescent="0.25">
      <c r="B90" s="9">
        <v>200</v>
      </c>
      <c r="C90" s="9">
        <v>800</v>
      </c>
      <c r="D90" s="9">
        <f>B90+100</f>
        <v>300</v>
      </c>
      <c r="E90" s="9">
        <v>900</v>
      </c>
      <c r="F90" s="9" t="s">
        <v>26</v>
      </c>
      <c r="G90" s="10" t="s">
        <v>32</v>
      </c>
      <c r="H90" s="23" t="str">
        <f t="shared" si="27"/>
        <v xml:space="preserve"> --export-png="C:\Users\Kamil_A\Desktop\centauri\res\alienrocket_1.png" "C:\Users\Kamil_A\Desktop\centauri\objects.svg"  --export-area=200:800:300:900</v>
      </c>
    </row>
    <row r="91" spans="2:8" x14ac:dyDescent="0.25">
      <c r="B91" s="15">
        <v>850</v>
      </c>
      <c r="C91" s="15">
        <v>0</v>
      </c>
      <c r="D91" s="15">
        <v>900</v>
      </c>
      <c r="E91" s="15">
        <v>600</v>
      </c>
      <c r="F91" s="16" t="s">
        <v>8</v>
      </c>
      <c r="G91" s="16" t="s">
        <v>34</v>
      </c>
      <c r="H91" s="14" t="str">
        <f t="shared" si="27"/>
        <v xml:space="preserve"> --export-png="C:\Users\Kamil_A\Desktop\centauri\res\progress_panel.png" "C:\Users\Kamil_A\Desktop\centauri\logo.svg"  --export-area=850:0:900:600</v>
      </c>
    </row>
    <row r="92" spans="2:8" x14ac:dyDescent="0.25">
      <c r="B92" s="9">
        <v>300</v>
      </c>
      <c r="C92" s="9">
        <v>960</v>
      </c>
      <c r="D92" s="9">
        <v>340</v>
      </c>
      <c r="E92" s="9">
        <v>1000</v>
      </c>
      <c r="F92" s="9" t="s">
        <v>26</v>
      </c>
      <c r="G92" s="10" t="s">
        <v>33</v>
      </c>
      <c r="H92" s="23" t="str">
        <f t="shared" ref="H92" si="28">" --export-png="""&amp;$H$1&amp;G92&amp;""" """&amp;$H$1&amp;F92&amp;"""  --export-area="&amp;B92&amp;":"&amp;C92&amp;":"&amp;D92&amp;":"&amp;E92</f>
        <v xml:space="preserve"> --export-png="C:\Users\Kamil_A\Desktop\centauri\res\navigation_arrow.png" "C:\Users\Kamil_A\Desktop\centauri\objects.svg"  --export-area=300:960:340:1000</v>
      </c>
    </row>
    <row r="93" spans="2:8" x14ac:dyDescent="0.25">
      <c r="B93" s="2">
        <v>350</v>
      </c>
      <c r="C93" s="2">
        <v>950</v>
      </c>
      <c r="D93" s="2">
        <v>400</v>
      </c>
      <c r="E93" s="2">
        <v>1000</v>
      </c>
      <c r="F93" s="9" t="s">
        <v>26</v>
      </c>
      <c r="G93" s="10" t="s">
        <v>106</v>
      </c>
      <c r="H93" s="23" t="str">
        <f t="shared" ref="H93" si="29">" --export-png="""&amp;$H$1&amp;G93&amp;""" """&amp;$H$1&amp;F93&amp;"""  --export-area="&amp;B93&amp;":"&amp;C93&amp;":"&amp;D93&amp;":"&amp;E93</f>
        <v xml:space="preserve"> --export-png="C:\Users\Kamil_A\Desktop\centauri\res\arrow\arrow_0.png" "C:\Users\Kamil_A\Desktop\centauri\objects.svg"  --export-area=350:950:400:1000</v>
      </c>
    </row>
    <row r="94" spans="2:8" x14ac:dyDescent="0.25">
      <c r="B94" s="2">
        <v>350</v>
      </c>
      <c r="C94" s="2">
        <f>C93-50</f>
        <v>900</v>
      </c>
      <c r="D94" s="2">
        <v>400</v>
      </c>
      <c r="E94" s="2">
        <f>E93-50</f>
        <v>950</v>
      </c>
      <c r="F94" s="9" t="s">
        <v>26</v>
      </c>
      <c r="G94" s="10" t="s">
        <v>107</v>
      </c>
      <c r="H94" s="23" t="str">
        <f t="shared" ref="H94:H101" si="30">" --export-png="""&amp;$H$1&amp;G94&amp;""" """&amp;$H$1&amp;F94&amp;"""  --export-area="&amp;B94&amp;":"&amp;C94&amp;":"&amp;D94&amp;":"&amp;E94</f>
        <v xml:space="preserve"> --export-png="C:\Users\Kamil_A\Desktop\centauri\res\arrow\arrow_1.png" "C:\Users\Kamil_A\Desktop\centauri\objects.svg"  --export-area=350:900:400:950</v>
      </c>
    </row>
    <row r="95" spans="2:8" x14ac:dyDescent="0.25">
      <c r="B95" s="2">
        <v>350</v>
      </c>
      <c r="C95" s="2">
        <f t="shared" ref="C95:C100" si="31">C94-50</f>
        <v>850</v>
      </c>
      <c r="D95" s="2">
        <v>400</v>
      </c>
      <c r="E95" s="2">
        <f t="shared" ref="E95:E100" si="32">E94-50</f>
        <v>900</v>
      </c>
      <c r="F95" s="9" t="s">
        <v>26</v>
      </c>
      <c r="G95" s="10" t="s">
        <v>108</v>
      </c>
      <c r="H95" s="23" t="str">
        <f t="shared" si="30"/>
        <v xml:space="preserve"> --export-png="C:\Users\Kamil_A\Desktop\centauri\res\arrow\arrow_2.png" "C:\Users\Kamil_A\Desktop\centauri\objects.svg"  --export-area=350:850:400:900</v>
      </c>
    </row>
    <row r="96" spans="2:8" x14ac:dyDescent="0.25">
      <c r="B96" s="2">
        <v>350</v>
      </c>
      <c r="C96" s="2">
        <f t="shared" si="31"/>
        <v>800</v>
      </c>
      <c r="D96" s="2">
        <v>400</v>
      </c>
      <c r="E96" s="2">
        <f t="shared" si="32"/>
        <v>850</v>
      </c>
      <c r="F96" s="9" t="s">
        <v>26</v>
      </c>
      <c r="G96" s="10" t="s">
        <v>109</v>
      </c>
      <c r="H96" s="23" t="str">
        <f t="shared" si="30"/>
        <v xml:space="preserve"> --export-png="C:\Users\Kamil_A\Desktop\centauri\res\arrow\arrow_3.png" "C:\Users\Kamil_A\Desktop\centauri\objects.svg"  --export-area=350:800:400:850</v>
      </c>
    </row>
    <row r="97" spans="2:8" x14ac:dyDescent="0.25">
      <c r="B97" s="2">
        <v>350</v>
      </c>
      <c r="C97" s="2">
        <f t="shared" si="31"/>
        <v>750</v>
      </c>
      <c r="D97" s="2">
        <v>400</v>
      </c>
      <c r="E97" s="2">
        <f t="shared" si="32"/>
        <v>800</v>
      </c>
      <c r="F97" s="9" t="s">
        <v>26</v>
      </c>
      <c r="G97" s="10" t="s">
        <v>110</v>
      </c>
      <c r="H97" s="23" t="str">
        <f t="shared" si="30"/>
        <v xml:space="preserve"> --export-png="C:\Users\Kamil_A\Desktop\centauri\res\arrow\arrow_4.png" "C:\Users\Kamil_A\Desktop\centauri\objects.svg"  --export-area=350:750:400:800</v>
      </c>
    </row>
    <row r="98" spans="2:8" x14ac:dyDescent="0.25">
      <c r="B98" s="2">
        <v>350</v>
      </c>
      <c r="C98" s="2">
        <f t="shared" si="31"/>
        <v>700</v>
      </c>
      <c r="D98" s="2">
        <v>400</v>
      </c>
      <c r="E98" s="2">
        <f t="shared" si="32"/>
        <v>750</v>
      </c>
      <c r="F98" s="9" t="s">
        <v>26</v>
      </c>
      <c r="G98" s="10" t="s">
        <v>111</v>
      </c>
      <c r="H98" s="23" t="str">
        <f t="shared" si="30"/>
        <v xml:space="preserve"> --export-png="C:\Users\Kamil_A\Desktop\centauri\res\arrow\arrow_5.png" "C:\Users\Kamil_A\Desktop\centauri\objects.svg"  --export-area=350:700:400:750</v>
      </c>
    </row>
    <row r="99" spans="2:8" x14ac:dyDescent="0.25">
      <c r="B99" s="2">
        <v>350</v>
      </c>
      <c r="C99" s="2">
        <f t="shared" si="31"/>
        <v>650</v>
      </c>
      <c r="D99" s="2">
        <v>400</v>
      </c>
      <c r="E99" s="2">
        <f t="shared" si="32"/>
        <v>700</v>
      </c>
      <c r="F99" s="9" t="s">
        <v>26</v>
      </c>
      <c r="G99" s="10" t="s">
        <v>112</v>
      </c>
      <c r="H99" s="23" t="str">
        <f t="shared" si="30"/>
        <v xml:space="preserve"> --export-png="C:\Users\Kamil_A\Desktop\centauri\res\arrow\arrow_6.png" "C:\Users\Kamil_A\Desktop\centauri\objects.svg"  --export-area=350:650:400:700</v>
      </c>
    </row>
    <row r="100" spans="2:8" x14ac:dyDescent="0.25">
      <c r="B100" s="2">
        <v>350</v>
      </c>
      <c r="C100" s="2">
        <f t="shared" si="31"/>
        <v>600</v>
      </c>
      <c r="D100" s="2">
        <v>400</v>
      </c>
      <c r="E100" s="2">
        <f t="shared" si="32"/>
        <v>650</v>
      </c>
      <c r="F100" s="9" t="s">
        <v>26</v>
      </c>
      <c r="G100" s="10" t="s">
        <v>113</v>
      </c>
      <c r="H100" s="23" t="str">
        <f t="shared" si="30"/>
        <v xml:space="preserve"> --export-png="C:\Users\Kamil_A\Desktop\centauri\res\arrow\arrow_7.png" "C:\Users\Kamil_A\Desktop\centauri\objects.svg"  --export-area=350:600:400:650</v>
      </c>
    </row>
    <row r="101" spans="2:8" x14ac:dyDescent="0.25">
      <c r="B101" s="12">
        <v>400</v>
      </c>
      <c r="C101" s="12">
        <v>950</v>
      </c>
      <c r="D101" s="12">
        <v>450</v>
      </c>
      <c r="E101" s="12">
        <v>1000</v>
      </c>
      <c r="F101" s="12" t="s">
        <v>26</v>
      </c>
      <c r="G101" s="13" t="s">
        <v>114</v>
      </c>
      <c r="H101" s="27" t="str">
        <f t="shared" si="30"/>
        <v xml:space="preserve"> --export-png="C:\Users\Kamil_A\Desktop\centauri\res\exp\exp_0.png" "C:\Users\Kamil_A\Desktop\centauri\objects.svg"  --export-area=400:950:450:1000</v>
      </c>
    </row>
    <row r="102" spans="2:8" x14ac:dyDescent="0.25">
      <c r="B102" s="12">
        <v>400</v>
      </c>
      <c r="C102" s="12">
        <f>C101-50</f>
        <v>900</v>
      </c>
      <c r="D102" s="12">
        <v>450</v>
      </c>
      <c r="E102" s="12">
        <f>E101-50</f>
        <v>950</v>
      </c>
      <c r="F102" s="12" t="s">
        <v>26</v>
      </c>
      <c r="G102" s="13" t="s">
        <v>115</v>
      </c>
      <c r="H102" s="27" t="str">
        <f t="shared" ref="H102:H109" si="33">" --export-png="""&amp;$H$1&amp;G102&amp;""" """&amp;$H$1&amp;F102&amp;"""  --export-area="&amp;B102&amp;":"&amp;C102&amp;":"&amp;D102&amp;":"&amp;E102</f>
        <v xml:space="preserve"> --export-png="C:\Users\Kamil_A\Desktop\centauri\res\exp\exp_1.png" "C:\Users\Kamil_A\Desktop\centauri\objects.svg"  --export-area=400:900:450:950</v>
      </c>
    </row>
    <row r="103" spans="2:8" x14ac:dyDescent="0.25">
      <c r="B103" s="12">
        <v>400</v>
      </c>
      <c r="C103" s="12">
        <f t="shared" ref="C103:C108" si="34">C102-50</f>
        <v>850</v>
      </c>
      <c r="D103" s="12">
        <v>450</v>
      </c>
      <c r="E103" s="12">
        <f t="shared" ref="E103:E108" si="35">E102-50</f>
        <v>900</v>
      </c>
      <c r="F103" s="12" t="s">
        <v>26</v>
      </c>
      <c r="G103" s="13" t="s">
        <v>116</v>
      </c>
      <c r="H103" s="27" t="str">
        <f t="shared" si="33"/>
        <v xml:space="preserve"> --export-png="C:\Users\Kamil_A\Desktop\centauri\res\exp\exp_2.png" "C:\Users\Kamil_A\Desktop\centauri\objects.svg"  --export-area=400:850:450:900</v>
      </c>
    </row>
    <row r="104" spans="2:8" x14ac:dyDescent="0.25">
      <c r="B104" s="12">
        <v>400</v>
      </c>
      <c r="C104" s="12">
        <f t="shared" si="34"/>
        <v>800</v>
      </c>
      <c r="D104" s="12">
        <v>450</v>
      </c>
      <c r="E104" s="12">
        <f t="shared" si="35"/>
        <v>850</v>
      </c>
      <c r="F104" s="12" t="s">
        <v>26</v>
      </c>
      <c r="G104" s="13" t="s">
        <v>117</v>
      </c>
      <c r="H104" s="27" t="str">
        <f t="shared" si="33"/>
        <v xml:space="preserve"> --export-png="C:\Users\Kamil_A\Desktop\centauri\res\exp\exp_3.png" "C:\Users\Kamil_A\Desktop\centauri\objects.svg"  --export-area=400:800:450:850</v>
      </c>
    </row>
    <row r="105" spans="2:8" x14ac:dyDescent="0.25">
      <c r="B105" s="12">
        <v>400</v>
      </c>
      <c r="C105" s="12">
        <f t="shared" si="34"/>
        <v>750</v>
      </c>
      <c r="D105" s="12">
        <v>450</v>
      </c>
      <c r="E105" s="12">
        <f t="shared" si="35"/>
        <v>800</v>
      </c>
      <c r="F105" s="12" t="s">
        <v>26</v>
      </c>
      <c r="G105" s="13" t="s">
        <v>118</v>
      </c>
      <c r="H105" s="27" t="str">
        <f t="shared" si="33"/>
        <v xml:space="preserve"> --export-png="C:\Users\Kamil_A\Desktop\centauri\res\exp\exp_4.png" "C:\Users\Kamil_A\Desktop\centauri\objects.svg"  --export-area=400:750:450:800</v>
      </c>
    </row>
    <row r="106" spans="2:8" x14ac:dyDescent="0.25">
      <c r="B106" s="12">
        <v>400</v>
      </c>
      <c r="C106" s="12">
        <f t="shared" si="34"/>
        <v>700</v>
      </c>
      <c r="D106" s="12">
        <v>450</v>
      </c>
      <c r="E106" s="12">
        <f t="shared" si="35"/>
        <v>750</v>
      </c>
      <c r="F106" s="12" t="s">
        <v>26</v>
      </c>
      <c r="G106" s="13" t="s">
        <v>119</v>
      </c>
      <c r="H106" s="27" t="str">
        <f t="shared" si="33"/>
        <v xml:space="preserve"> --export-png="C:\Users\Kamil_A\Desktop\centauri\res\exp\exp_5.png" "C:\Users\Kamil_A\Desktop\centauri\objects.svg"  --export-area=400:700:450:750</v>
      </c>
    </row>
    <row r="107" spans="2:8" x14ac:dyDescent="0.25">
      <c r="B107" s="12">
        <v>400</v>
      </c>
      <c r="C107" s="12">
        <f t="shared" si="34"/>
        <v>650</v>
      </c>
      <c r="D107" s="12">
        <v>450</v>
      </c>
      <c r="E107" s="12">
        <f t="shared" si="35"/>
        <v>700</v>
      </c>
      <c r="F107" s="12" t="s">
        <v>26</v>
      </c>
      <c r="G107" s="13" t="s">
        <v>120</v>
      </c>
      <c r="H107" s="27" t="str">
        <f t="shared" si="33"/>
        <v xml:space="preserve"> --export-png="C:\Users\Kamil_A\Desktop\centauri\res\exp\exp_6.png" "C:\Users\Kamil_A\Desktop\centauri\objects.svg"  --export-area=400:650:450:700</v>
      </c>
    </row>
    <row r="108" spans="2:8" x14ac:dyDescent="0.25">
      <c r="B108" s="12">
        <v>400</v>
      </c>
      <c r="C108" s="12">
        <f t="shared" si="34"/>
        <v>600</v>
      </c>
      <c r="D108" s="12">
        <v>450</v>
      </c>
      <c r="E108" s="12">
        <f t="shared" si="35"/>
        <v>650</v>
      </c>
      <c r="F108" s="12" t="s">
        <v>26</v>
      </c>
      <c r="G108" s="13" t="s">
        <v>121</v>
      </c>
      <c r="H108" s="27" t="str">
        <f t="shared" si="33"/>
        <v xml:space="preserve"> --export-png="C:\Users\Kamil_A\Desktop\centauri\res\exp\exp_7.png" "C:\Users\Kamil_A\Desktop\centauri\objects.svg"  --export-area=400:600:450:650</v>
      </c>
    </row>
    <row r="109" spans="2:8" x14ac:dyDescent="0.25">
      <c r="B109" s="18">
        <v>300</v>
      </c>
      <c r="C109" s="18">
        <v>-950</v>
      </c>
      <c r="D109" s="18">
        <v>675</v>
      </c>
      <c r="E109" s="18">
        <v>-900</v>
      </c>
      <c r="F109" s="19" t="s">
        <v>8</v>
      </c>
      <c r="G109" s="19" t="s">
        <v>122</v>
      </c>
      <c r="H109" s="17" t="str">
        <f t="shared" si="33"/>
        <v xml:space="preserve"> --export-png="C:\Users\Kamil_A\Desktop\centauri\res\low_fuel.png" "C:\Users\Kamil_A\Desktop\centauri\logo.svg"  --export-area=300:-950:675:-900</v>
      </c>
    </row>
    <row r="110" spans="2:8" x14ac:dyDescent="0.25">
      <c r="B110" s="12">
        <v>500</v>
      </c>
      <c r="C110" s="12">
        <v>900</v>
      </c>
      <c r="D110" s="12">
        <f>B110+100</f>
        <v>600</v>
      </c>
      <c r="E110" s="12">
        <f>C110+100</f>
        <v>1000</v>
      </c>
      <c r="F110" s="12" t="s">
        <v>26</v>
      </c>
      <c r="G110" s="13" t="s">
        <v>123</v>
      </c>
      <c r="H110" s="27" t="str">
        <f t="shared" ref="H110:H111" si="36">" --export-png="""&amp;$H$1&amp;G110&amp;""" """&amp;$H$1&amp;F110&amp;"""  --export-area="&amp;B110&amp;":"&amp;C110&amp;":"&amp;D110&amp;":"&amp;E110</f>
        <v xml:space="preserve"> --export-png="C:\Users\Kamil_A\Desktop\centauri\res\space_ship_2\0.png" "C:\Users\Kamil_A\Desktop\centauri\objects.svg"  --export-area=500:900:600:1000</v>
      </c>
    </row>
    <row r="111" spans="2:8" x14ac:dyDescent="0.25">
      <c r="B111" s="12">
        <f>B110</f>
        <v>500</v>
      </c>
      <c r="C111" s="12">
        <f>C110-100</f>
        <v>800</v>
      </c>
      <c r="D111" s="12">
        <f>D110</f>
        <v>600</v>
      </c>
      <c r="E111" s="12">
        <f>E110-100</f>
        <v>900</v>
      </c>
      <c r="F111" s="12" t="s">
        <v>26</v>
      </c>
      <c r="G111" s="13" t="s">
        <v>124</v>
      </c>
      <c r="H111" s="27" t="str">
        <f t="shared" si="36"/>
        <v xml:space="preserve"> --export-png="C:\Users\Kamil_A\Desktop\centauri\res\space_ship_2\1.png" "C:\Users\Kamil_A\Desktop\centauri\objects.svg"  --export-area=500:800:600:900</v>
      </c>
    </row>
    <row r="112" spans="2:8" x14ac:dyDescent="0.25">
      <c r="B112" s="12">
        <f t="shared" ref="B112:B113" si="37">B111</f>
        <v>500</v>
      </c>
      <c r="C112" s="12">
        <f t="shared" ref="C112:C113" si="38">C111-100</f>
        <v>700</v>
      </c>
      <c r="D112" s="12">
        <f t="shared" ref="D112:D113" si="39">D111</f>
        <v>600</v>
      </c>
      <c r="E112" s="12">
        <f t="shared" ref="E112:E113" si="40">E111-100</f>
        <v>800</v>
      </c>
      <c r="F112" s="12" t="s">
        <v>26</v>
      </c>
      <c r="G112" s="13" t="s">
        <v>147</v>
      </c>
      <c r="H112" s="27" t="str">
        <f t="shared" ref="H112:H114" si="41">" --export-png="""&amp;$H$1&amp;G112&amp;""" """&amp;$H$1&amp;F112&amp;"""  --export-area="&amp;B112&amp;":"&amp;C112&amp;":"&amp;D112&amp;":"&amp;E112</f>
        <v xml:space="preserve"> --export-png="C:\Users\Kamil_A\Desktop\centauri\res\space_ship_2\2.png" "C:\Users\Kamil_A\Desktop\centauri\objects.svg"  --export-area=500:700:600:800</v>
      </c>
    </row>
    <row r="113" spans="2:8" x14ac:dyDescent="0.25">
      <c r="B113" s="12">
        <f t="shared" si="37"/>
        <v>500</v>
      </c>
      <c r="C113" s="12">
        <f t="shared" si="38"/>
        <v>600</v>
      </c>
      <c r="D113" s="12">
        <f t="shared" si="39"/>
        <v>600</v>
      </c>
      <c r="E113" s="12">
        <f t="shared" si="40"/>
        <v>700</v>
      </c>
      <c r="F113" s="12" t="s">
        <v>26</v>
      </c>
      <c r="G113" s="13" t="s">
        <v>148</v>
      </c>
      <c r="H113" s="27" t="str">
        <f t="shared" si="41"/>
        <v xml:space="preserve"> --export-png="C:\Users\Kamil_A\Desktop\centauri\res\space_ship_2\3.png" "C:\Users\Kamil_A\Desktop\centauri\objects.svg"  --export-area=500:600:600:700</v>
      </c>
    </row>
    <row r="114" spans="2:8" x14ac:dyDescent="0.25">
      <c r="B114" s="32">
        <v>900</v>
      </c>
      <c r="C114" s="32">
        <v>900</v>
      </c>
      <c r="D114" s="32">
        <v>1000</v>
      </c>
      <c r="E114" s="32">
        <v>1000</v>
      </c>
      <c r="F114" s="32" t="s">
        <v>26</v>
      </c>
      <c r="G114" s="33" t="s">
        <v>150</v>
      </c>
      <c r="H114" s="34" t="str">
        <f t="shared" si="41"/>
        <v xml:space="preserve"> --export-png="C:\Users\Kamil_A\Desktop\centauri\res\ufo_1\0.png" "C:\Users\Kamil_A\Desktop\centauri\objects.svg"  --export-area=900:900:1000:1000</v>
      </c>
    </row>
    <row r="115" spans="2:8" x14ac:dyDescent="0.25">
      <c r="B115" s="32">
        <f t="shared" ref="B115:B116" si="42">B114</f>
        <v>900</v>
      </c>
      <c r="C115" s="32">
        <f t="shared" ref="C115:C116" si="43">C114-100</f>
        <v>800</v>
      </c>
      <c r="D115" s="32">
        <f t="shared" ref="D115:D116" si="44">D114</f>
        <v>1000</v>
      </c>
      <c r="E115" s="32">
        <f>E114-100</f>
        <v>900</v>
      </c>
      <c r="F115" s="32" t="s">
        <v>26</v>
      </c>
      <c r="G115" s="33" t="s">
        <v>149</v>
      </c>
      <c r="H115" s="34" t="str">
        <f t="shared" ref="H115:H116" si="45">" --export-png="""&amp;$H$1&amp;G115&amp;""" """&amp;$H$1&amp;F115&amp;"""  --export-area="&amp;B115&amp;":"&amp;C115&amp;":"&amp;D115&amp;":"&amp;E115</f>
        <v xml:space="preserve"> --export-png="C:\Users\Kamil_A\Desktop\centauri\res\ufo_1\1.png" "C:\Users\Kamil_A\Desktop\centauri\objects.svg"  --export-area=900:800:1000:900</v>
      </c>
    </row>
    <row r="116" spans="2:8" x14ac:dyDescent="0.25">
      <c r="B116" s="32">
        <f t="shared" si="42"/>
        <v>900</v>
      </c>
      <c r="C116" s="32">
        <f t="shared" si="43"/>
        <v>700</v>
      </c>
      <c r="D116" s="32">
        <f t="shared" si="44"/>
        <v>1000</v>
      </c>
      <c r="E116" s="32">
        <f t="shared" ref="E115:E116" si="46">E115-100</f>
        <v>800</v>
      </c>
      <c r="F116" s="32" t="s">
        <v>26</v>
      </c>
      <c r="G116" s="33" t="s">
        <v>151</v>
      </c>
      <c r="H116" s="34" t="str">
        <f t="shared" si="45"/>
        <v xml:space="preserve"> --export-png="C:\Users\Kamil_A\Desktop\centauri\res\ufo_1\2.png" "C:\Users\Kamil_A\Desktop\centauri\objects.svg"  --export-area=900:700:1000:800</v>
      </c>
    </row>
    <row r="117" spans="2:8" x14ac:dyDescent="0.25">
      <c r="B117" s="28">
        <v>600</v>
      </c>
      <c r="C117" s="28">
        <v>900</v>
      </c>
      <c r="D117" s="28">
        <f>B117+100</f>
        <v>700</v>
      </c>
      <c r="E117" s="28">
        <f>C117+100</f>
        <v>1000</v>
      </c>
      <c r="F117" s="28" t="s">
        <v>26</v>
      </c>
      <c r="G117" s="29" t="s">
        <v>125</v>
      </c>
      <c r="H117" s="30" t="str">
        <f t="shared" ref="H117:H120" si="47">" --export-png="""&amp;$H$1&amp;G117&amp;""" """&amp;$H$1&amp;F117&amp;"""  --export-area="&amp;B117&amp;":"&amp;C117&amp;":"&amp;D117&amp;":"&amp;E117</f>
        <v xml:space="preserve"> --export-png="C:\Users\Kamil_A\Desktop\centauri\res\ufo_2\0.png" "C:\Users\Kamil_A\Desktop\centauri\objects.svg"  --export-area=600:900:700:1000</v>
      </c>
    </row>
    <row r="118" spans="2:8" x14ac:dyDescent="0.25">
      <c r="B118" s="28">
        <v>600</v>
      </c>
      <c r="C118" s="28">
        <f>C117-100</f>
        <v>800</v>
      </c>
      <c r="D118" s="28">
        <f>D117</f>
        <v>700</v>
      </c>
      <c r="E118" s="28">
        <f>E117-100</f>
        <v>900</v>
      </c>
      <c r="F118" s="28" t="s">
        <v>26</v>
      </c>
      <c r="G118" s="29" t="s">
        <v>126</v>
      </c>
      <c r="H118" s="30" t="str">
        <f t="shared" si="47"/>
        <v xml:space="preserve"> --export-png="C:\Users\Kamil_A\Desktop\centauri\res\ufo_2\1.png" "C:\Users\Kamil_A\Desktop\centauri\objects.svg"  --export-area=600:800:700:900</v>
      </c>
    </row>
    <row r="119" spans="2:8" x14ac:dyDescent="0.25">
      <c r="B119" s="12">
        <v>700</v>
      </c>
      <c r="C119" s="12">
        <v>900</v>
      </c>
      <c r="D119" s="12">
        <f>B119+100</f>
        <v>800</v>
      </c>
      <c r="E119" s="12">
        <f>C119+100</f>
        <v>1000</v>
      </c>
      <c r="F119" s="12" t="s">
        <v>26</v>
      </c>
      <c r="G119" s="13" t="s">
        <v>127</v>
      </c>
      <c r="H119" s="27" t="str">
        <f t="shared" si="47"/>
        <v xml:space="preserve"> --export-png="C:\Users\Kamil_A\Desktop\centauri\res\space_ship_3\0.png" "C:\Users\Kamil_A\Desktop\centauri\objects.svg"  --export-area=700:900:800:1000</v>
      </c>
    </row>
    <row r="120" spans="2:8" x14ac:dyDescent="0.25">
      <c r="B120" s="12">
        <f>B119</f>
        <v>700</v>
      </c>
      <c r="C120" s="12">
        <f>C119-100</f>
        <v>800</v>
      </c>
      <c r="D120" s="12">
        <f>D119</f>
        <v>800</v>
      </c>
      <c r="E120" s="12">
        <f>E119-100</f>
        <v>900</v>
      </c>
      <c r="F120" s="12" t="s">
        <v>26</v>
      </c>
      <c r="G120" s="13" t="s">
        <v>128</v>
      </c>
      <c r="H120" s="27" t="str">
        <f t="shared" si="47"/>
        <v xml:space="preserve"> --export-png="C:\Users\Kamil_A\Desktop\centauri\res\space_ship_3\1.png" "C:\Users\Kamil_A\Desktop\centauri\objects.svg"  --export-area=700:800:800:900</v>
      </c>
    </row>
    <row r="121" spans="2:8" x14ac:dyDescent="0.25">
      <c r="B121" s="28">
        <v>800</v>
      </c>
      <c r="C121" s="28">
        <v>900</v>
      </c>
      <c r="D121" s="28">
        <f>B121+100</f>
        <v>900</v>
      </c>
      <c r="E121" s="28">
        <f>C121+100</f>
        <v>1000</v>
      </c>
      <c r="F121" s="28" t="s">
        <v>26</v>
      </c>
      <c r="G121" s="29" t="s">
        <v>129</v>
      </c>
      <c r="H121" s="30" t="str">
        <f t="shared" ref="H121:H124" si="48">" --export-png="""&amp;$H$1&amp;G121&amp;""" """&amp;$H$1&amp;F121&amp;"""  --export-area="&amp;B121&amp;":"&amp;C121&amp;":"&amp;D121&amp;":"&amp;E121</f>
        <v xml:space="preserve"> --export-png="C:\Users\Kamil_A\Desktop\centauri\res\ufo_3\0.png" "C:\Users\Kamil_A\Desktop\centauri\objects.svg"  --export-area=800:900:900:1000</v>
      </c>
    </row>
    <row r="122" spans="2:8" x14ac:dyDescent="0.25">
      <c r="B122" s="28">
        <v>800</v>
      </c>
      <c r="C122" s="28">
        <f>C121-100</f>
        <v>800</v>
      </c>
      <c r="D122" s="28">
        <f>D121</f>
        <v>900</v>
      </c>
      <c r="E122" s="28">
        <f>E121-100</f>
        <v>900</v>
      </c>
      <c r="F122" s="28" t="s">
        <v>26</v>
      </c>
      <c r="G122" s="29" t="s">
        <v>130</v>
      </c>
      <c r="H122" s="30" t="str">
        <f t="shared" si="48"/>
        <v xml:space="preserve"> --export-png="C:\Users\Kamil_A\Desktop\centauri\res\ufo_3\1.png" "C:\Users\Kamil_A\Desktop\centauri\objects.svg"  --export-area=800:800:900:900</v>
      </c>
    </row>
    <row r="123" spans="2:8" x14ac:dyDescent="0.25">
      <c r="B123" s="12">
        <v>-50</v>
      </c>
      <c r="C123" s="12">
        <v>-1075</v>
      </c>
      <c r="D123" s="12">
        <v>275</v>
      </c>
      <c r="E123" s="12">
        <v>-1025</v>
      </c>
      <c r="F123" s="12" t="s">
        <v>8</v>
      </c>
      <c r="G123" s="13" t="s">
        <v>131</v>
      </c>
      <c r="H123" s="27" t="str">
        <f t="shared" si="48"/>
        <v xml:space="preserve"> --export-png="C:\Users\Kamil_A\Desktop\centauri\res\message_bcg.png" "C:\Users\Kamil_A\Desktop\centauri\logo.svg"  --export-area=-50:-1075:275:-1025</v>
      </c>
    </row>
    <row r="124" spans="2:8" x14ac:dyDescent="0.25">
      <c r="B124" s="24">
        <v>0</v>
      </c>
      <c r="C124" s="24">
        <v>-1150</v>
      </c>
      <c r="D124" s="24">
        <v>225</v>
      </c>
      <c r="E124" s="24">
        <v>-1125</v>
      </c>
      <c r="F124" s="24" t="s">
        <v>8</v>
      </c>
      <c r="G124" s="25" t="s">
        <v>132</v>
      </c>
      <c r="H124" s="31" t="str">
        <f t="shared" si="48"/>
        <v xml:space="preserve"> --export-png="C:\Users\Kamil_A\Desktop\centauri\res\bars\back_0.png" "C:\Users\Kamil_A\Desktop\centauri\logo.svg"  --export-area=0:-1150:225:-1125</v>
      </c>
    </row>
    <row r="125" spans="2:8" x14ac:dyDescent="0.25">
      <c r="B125" s="24">
        <v>0</v>
      </c>
      <c r="C125" s="2">
        <f>C124-25</f>
        <v>-1175</v>
      </c>
      <c r="D125" s="24">
        <v>225</v>
      </c>
      <c r="E125" s="2">
        <f>E124-25</f>
        <v>-1150</v>
      </c>
      <c r="F125" s="24" t="s">
        <v>8</v>
      </c>
      <c r="G125" s="25" t="s">
        <v>133</v>
      </c>
      <c r="H125" s="31" t="str">
        <f t="shared" ref="H125:H137" si="49">" --export-png="""&amp;$H$1&amp;G125&amp;""" """&amp;$H$1&amp;F125&amp;"""  --export-area="&amp;B125&amp;":"&amp;C125&amp;":"&amp;D125&amp;":"&amp;E125</f>
        <v xml:space="preserve"> --export-png="C:\Users\Kamil_A\Desktop\centauri\res\bars\back_1.png" "C:\Users\Kamil_A\Desktop\centauri\logo.svg"  --export-area=0:-1175:225:-1150</v>
      </c>
    </row>
    <row r="126" spans="2:8" x14ac:dyDescent="0.25">
      <c r="B126" s="24">
        <v>0</v>
      </c>
      <c r="C126" s="2">
        <f t="shared" ref="C126:C137" si="50">C125-25</f>
        <v>-1200</v>
      </c>
      <c r="D126" s="24">
        <v>225</v>
      </c>
      <c r="E126" s="2">
        <f t="shared" ref="E126:E137" si="51">E125-25</f>
        <v>-1175</v>
      </c>
      <c r="F126" s="24" t="s">
        <v>8</v>
      </c>
      <c r="G126" s="25" t="s">
        <v>134</v>
      </c>
      <c r="H126" s="31" t="str">
        <f t="shared" si="49"/>
        <v xml:space="preserve"> --export-png="C:\Users\Kamil_A\Desktop\centauri\res\bars\back_2.png" "C:\Users\Kamil_A\Desktop\centauri\logo.svg"  --export-area=0:-1200:225:-1175</v>
      </c>
    </row>
    <row r="127" spans="2:8" x14ac:dyDescent="0.25">
      <c r="B127" s="24">
        <v>0</v>
      </c>
      <c r="C127" s="2">
        <f t="shared" si="50"/>
        <v>-1225</v>
      </c>
      <c r="D127" s="24">
        <v>225</v>
      </c>
      <c r="E127" s="2">
        <f t="shared" si="51"/>
        <v>-1200</v>
      </c>
      <c r="F127" s="24" t="s">
        <v>8</v>
      </c>
      <c r="G127" s="25" t="s">
        <v>135</v>
      </c>
      <c r="H127" s="31" t="str">
        <f t="shared" si="49"/>
        <v xml:space="preserve"> --export-png="C:\Users\Kamil_A\Desktop\centauri\res\bars\back_3.png" "C:\Users\Kamil_A\Desktop\centauri\logo.svg"  --export-area=0:-1225:225:-1200</v>
      </c>
    </row>
    <row r="128" spans="2:8" x14ac:dyDescent="0.25">
      <c r="B128" s="24">
        <v>0</v>
      </c>
      <c r="C128" s="2">
        <f t="shared" si="50"/>
        <v>-1250</v>
      </c>
      <c r="D128" s="24">
        <v>225</v>
      </c>
      <c r="E128" s="2">
        <f t="shared" si="51"/>
        <v>-1225</v>
      </c>
      <c r="F128" s="24" t="s">
        <v>8</v>
      </c>
      <c r="G128" s="25" t="s">
        <v>136</v>
      </c>
      <c r="H128" s="31" t="str">
        <f t="shared" si="49"/>
        <v xml:space="preserve"> --export-png="C:\Users\Kamil_A\Desktop\centauri\res\bars\back_4.png" "C:\Users\Kamil_A\Desktop\centauri\logo.svg"  --export-area=0:-1250:225:-1225</v>
      </c>
    </row>
    <row r="129" spans="2:8" x14ac:dyDescent="0.25">
      <c r="B129" s="24">
        <v>0</v>
      </c>
      <c r="C129" s="2">
        <f t="shared" si="50"/>
        <v>-1275</v>
      </c>
      <c r="D129" s="24">
        <v>225</v>
      </c>
      <c r="E129" s="2">
        <f t="shared" si="51"/>
        <v>-1250</v>
      </c>
      <c r="F129" s="24" t="s">
        <v>8</v>
      </c>
      <c r="G129" s="25" t="s">
        <v>137</v>
      </c>
      <c r="H129" s="31" t="str">
        <f t="shared" si="49"/>
        <v xml:space="preserve"> --export-png="C:\Users\Kamil_A\Desktop\centauri\res\bars\back_5.png" "C:\Users\Kamil_A\Desktop\centauri\logo.svg"  --export-area=0:-1275:225:-1250</v>
      </c>
    </row>
    <row r="130" spans="2:8" x14ac:dyDescent="0.25">
      <c r="B130" s="24">
        <v>0</v>
      </c>
      <c r="C130" s="2">
        <f t="shared" si="50"/>
        <v>-1300</v>
      </c>
      <c r="D130" s="24">
        <v>225</v>
      </c>
      <c r="E130" s="2">
        <f t="shared" si="51"/>
        <v>-1275</v>
      </c>
      <c r="F130" s="24" t="s">
        <v>8</v>
      </c>
      <c r="G130" s="25" t="s">
        <v>138</v>
      </c>
      <c r="H130" s="31" t="str">
        <f t="shared" si="49"/>
        <v xml:space="preserve"> --export-png="C:\Users\Kamil_A\Desktop\centauri\res\bars\back_6.png" "C:\Users\Kamil_A\Desktop\centauri\logo.svg"  --export-area=0:-1300:225:-1275</v>
      </c>
    </row>
    <row r="131" spans="2:8" x14ac:dyDescent="0.25">
      <c r="B131" s="24">
        <v>0</v>
      </c>
      <c r="C131" s="2">
        <f t="shared" si="50"/>
        <v>-1325</v>
      </c>
      <c r="D131" s="24">
        <v>225</v>
      </c>
      <c r="E131" s="2">
        <f t="shared" si="51"/>
        <v>-1300</v>
      </c>
      <c r="F131" s="24" t="s">
        <v>8</v>
      </c>
      <c r="G131" s="25" t="s">
        <v>139</v>
      </c>
      <c r="H131" s="31" t="str">
        <f t="shared" si="49"/>
        <v xml:space="preserve"> --export-png="C:\Users\Kamil_A\Desktop\centauri\res\bars\back_7.png" "C:\Users\Kamil_A\Desktop\centauri\logo.svg"  --export-area=0:-1325:225:-1300</v>
      </c>
    </row>
    <row r="132" spans="2:8" x14ac:dyDescent="0.25">
      <c r="B132" s="24">
        <v>0</v>
      </c>
      <c r="C132" s="2">
        <f t="shared" si="50"/>
        <v>-1350</v>
      </c>
      <c r="D132" s="24">
        <v>225</v>
      </c>
      <c r="E132" s="2">
        <f t="shared" si="51"/>
        <v>-1325</v>
      </c>
      <c r="F132" s="24" t="s">
        <v>8</v>
      </c>
      <c r="G132" s="25" t="s">
        <v>140</v>
      </c>
      <c r="H132" s="31" t="str">
        <f t="shared" si="49"/>
        <v xml:space="preserve"> --export-png="C:\Users\Kamil_A\Desktop\centauri\res\bars\back_8.png" "C:\Users\Kamil_A\Desktop\centauri\logo.svg"  --export-area=0:-1350:225:-1325</v>
      </c>
    </row>
    <row r="133" spans="2:8" x14ac:dyDescent="0.25">
      <c r="B133" s="24">
        <v>0</v>
      </c>
      <c r="C133" s="2">
        <f t="shared" si="50"/>
        <v>-1375</v>
      </c>
      <c r="D133" s="24">
        <v>225</v>
      </c>
      <c r="E133" s="2">
        <f t="shared" si="51"/>
        <v>-1350</v>
      </c>
      <c r="F133" s="24" t="s">
        <v>8</v>
      </c>
      <c r="G133" s="25" t="s">
        <v>141</v>
      </c>
      <c r="H133" s="31" t="str">
        <f t="shared" si="49"/>
        <v xml:space="preserve"> --export-png="C:\Users\Kamil_A\Desktop\centauri\res\bars\back_9.png" "C:\Users\Kamil_A\Desktop\centauri\logo.svg"  --export-area=0:-1375:225:-1350</v>
      </c>
    </row>
    <row r="134" spans="2:8" x14ac:dyDescent="0.25">
      <c r="B134" s="24">
        <v>0</v>
      </c>
      <c r="C134" s="2">
        <f t="shared" si="50"/>
        <v>-1400</v>
      </c>
      <c r="D134" s="24">
        <v>225</v>
      </c>
      <c r="E134" s="2">
        <f t="shared" si="51"/>
        <v>-1375</v>
      </c>
      <c r="F134" s="24" t="s">
        <v>8</v>
      </c>
      <c r="G134" s="25" t="s">
        <v>142</v>
      </c>
      <c r="H134" s="31" t="str">
        <f t="shared" si="49"/>
        <v xml:space="preserve"> --export-png="C:\Users\Kamil_A\Desktop\centauri\res\bars\back_10.png" "C:\Users\Kamil_A\Desktop\centauri\logo.svg"  --export-area=0:-1400:225:-1375</v>
      </c>
    </row>
    <row r="135" spans="2:8" x14ac:dyDescent="0.25">
      <c r="B135" s="24">
        <v>0</v>
      </c>
      <c r="C135" s="2">
        <f t="shared" si="50"/>
        <v>-1425</v>
      </c>
      <c r="D135" s="24">
        <v>225</v>
      </c>
      <c r="E135" s="2">
        <f t="shared" si="51"/>
        <v>-1400</v>
      </c>
      <c r="F135" s="24" t="s">
        <v>8</v>
      </c>
      <c r="G135" s="25" t="s">
        <v>144</v>
      </c>
      <c r="H135" s="31" t="str">
        <f t="shared" si="49"/>
        <v xml:space="preserve"> --export-png="C:\Users\Kamil_A\Desktop\centauri\res\bars\back_11.png" "C:\Users\Kamil_A\Desktop\centauri\logo.svg"  --export-area=0:-1425:225:-1400</v>
      </c>
    </row>
    <row r="136" spans="2:8" x14ac:dyDescent="0.25">
      <c r="B136" s="24">
        <v>0</v>
      </c>
      <c r="C136" s="2">
        <f t="shared" si="50"/>
        <v>-1450</v>
      </c>
      <c r="D136" s="24">
        <v>225</v>
      </c>
      <c r="E136" s="2">
        <f t="shared" si="51"/>
        <v>-1425</v>
      </c>
      <c r="F136" s="24" t="s">
        <v>8</v>
      </c>
      <c r="G136" s="25" t="s">
        <v>143</v>
      </c>
      <c r="H136" s="31" t="str">
        <f t="shared" si="49"/>
        <v xml:space="preserve"> --export-png="C:\Users\Kamil_A\Desktop\centauri\res\bars\back_12.png" "C:\Users\Kamil_A\Desktop\centauri\logo.svg"  --export-area=0:-1450:225:-1425</v>
      </c>
    </row>
    <row r="137" spans="2:8" x14ac:dyDescent="0.25">
      <c r="B137" s="24">
        <v>0</v>
      </c>
      <c r="C137" s="2">
        <f t="shared" si="50"/>
        <v>-1475</v>
      </c>
      <c r="D137" s="24">
        <v>225</v>
      </c>
      <c r="E137" s="2">
        <f t="shared" si="51"/>
        <v>-1450</v>
      </c>
      <c r="F137" s="24" t="s">
        <v>8</v>
      </c>
      <c r="G137" s="25" t="s">
        <v>145</v>
      </c>
      <c r="H137" s="31" t="str">
        <f t="shared" si="49"/>
        <v xml:space="preserve"> --export-png="C:\Users\Kamil_A\Desktop\centauri\res\bars\back_13.png" "C:\Users\Kamil_A\Desktop\centauri\logo.svg"  --export-area=0:-1475:225:-1450</v>
      </c>
    </row>
    <row r="138" spans="2:8" x14ac:dyDescent="0.25">
      <c r="B138" s="24">
        <v>5</v>
      </c>
      <c r="C138" s="2">
        <v>-1100</v>
      </c>
      <c r="D138" s="24">
        <v>220</v>
      </c>
      <c r="E138" s="2">
        <v>-1075</v>
      </c>
      <c r="F138" s="24" t="s">
        <v>8</v>
      </c>
      <c r="G138" s="25" t="s">
        <v>146</v>
      </c>
      <c r="H138" s="31" t="str">
        <f t="shared" ref="H138" si="52">" --export-png="""&amp;$H$1&amp;G138&amp;""" """&amp;$H$1&amp;F138&amp;"""  --export-area="&amp;B138&amp;":"&amp;C138&amp;":"&amp;D138&amp;":"&amp;E138</f>
        <v xml:space="preserve"> --export-png="C:\Users\Kamil_A\Desktop\centauri\res\bars\front.png" "C:\Users\Kamil_A\Desktop\centauri\logo.svg"  --export-area=5:-1100:220:-1075</v>
      </c>
    </row>
    <row r="139" spans="2:8" x14ac:dyDescent="0.25">
      <c r="B139" s="24">
        <v>5</v>
      </c>
      <c r="C139" s="2">
        <f>C138-25</f>
        <v>-1125</v>
      </c>
      <c r="D139" s="24">
        <v>220</v>
      </c>
      <c r="E139" s="2">
        <f>E138-25</f>
        <v>-1100</v>
      </c>
      <c r="F139" s="24" t="s">
        <v>8</v>
      </c>
      <c r="G139" s="25" t="s">
        <v>152</v>
      </c>
      <c r="H139" s="31" t="str">
        <f t="shared" ref="H139:H140" si="53">" --export-png="""&amp;$H$1&amp;G139&amp;""" """&amp;$H$1&amp;F139&amp;"""  --export-area="&amp;B139&amp;":"&amp;C139&amp;":"&amp;D139&amp;":"&amp;E139</f>
        <v xml:space="preserve"> --export-png="C:\Users\Kamil_A\Desktop\centauri\res\bars\front_2.png" "C:\Users\Kamil_A\Desktop\centauri\logo.svg"  --export-area=5:-1125:220:-1100</v>
      </c>
    </row>
    <row r="140" spans="2:8" x14ac:dyDescent="0.25">
      <c r="B140" s="35">
        <v>-25</v>
      </c>
      <c r="C140" s="35">
        <v>-1150</v>
      </c>
      <c r="D140" s="35">
        <f>B140+25</f>
        <v>0</v>
      </c>
      <c r="E140" s="35">
        <f>C140+25</f>
        <v>-1125</v>
      </c>
      <c r="F140" s="35" t="s">
        <v>8</v>
      </c>
      <c r="G140" s="36" t="s">
        <v>154</v>
      </c>
      <c r="H140" s="37" t="str">
        <f t="shared" si="53"/>
        <v xml:space="preserve"> --export-png="C:\Users\Kamil_A\Desktop\centauri\res\shield_icon.png" "C:\Users\Kamil_A\Desktop\centauri\logo.svg"  --export-area=-25:-1150:0:-1125</v>
      </c>
    </row>
    <row r="141" spans="2:8" x14ac:dyDescent="0.25">
      <c r="B141" s="35">
        <f>B140</f>
        <v>-25</v>
      </c>
      <c r="C141" s="35">
        <f>C140-25</f>
        <v>-1175</v>
      </c>
      <c r="D141" s="35">
        <f>D140</f>
        <v>0</v>
      </c>
      <c r="E141" s="35">
        <f>E140-25</f>
        <v>-1150</v>
      </c>
      <c r="F141" s="35" t="s">
        <v>8</v>
      </c>
      <c r="G141" s="36" t="s">
        <v>153</v>
      </c>
      <c r="H141" s="37" t="str">
        <f t="shared" ref="H141" si="54">" --export-png="""&amp;$H$1&amp;G141&amp;""" """&amp;$H$1&amp;F141&amp;"""  --export-area="&amp;B141&amp;":"&amp;C141&amp;":"&amp;D141&amp;":"&amp;E141</f>
        <v xml:space="preserve"> --export-png="C:\Users\Kamil_A\Desktop\centauri\res\fuel_icon.png" "C:\Users\Kamil_A\Desktop\centauri\logo.svg"  --export-area=-25:-1175:0:-1150</v>
      </c>
    </row>
    <row r="142" spans="2:8" x14ac:dyDescent="0.25">
      <c r="F142"/>
      <c r="G142"/>
    </row>
    <row r="143" spans="2:8" x14ac:dyDescent="0.25">
      <c r="F143"/>
      <c r="G143"/>
    </row>
    <row r="144" spans="2:8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D11"/>
  <sheetViews>
    <sheetView workbookViewId="0">
      <selection activeCell="C11" sqref="C11"/>
    </sheetView>
  </sheetViews>
  <sheetFormatPr defaultRowHeight="15" x14ac:dyDescent="0.25"/>
  <sheetData>
    <row r="3" spans="2:4" x14ac:dyDescent="0.25">
      <c r="B3" t="s">
        <v>20</v>
      </c>
      <c r="C3" t="s">
        <v>9</v>
      </c>
    </row>
    <row r="4" spans="2:4" x14ac:dyDescent="0.25">
      <c r="B4" t="s">
        <v>19</v>
      </c>
      <c r="C4" t="s">
        <v>18</v>
      </c>
    </row>
    <row r="6" spans="2:4" x14ac:dyDescent="0.25">
      <c r="B6" t="s">
        <v>20</v>
      </c>
      <c r="C6" t="s">
        <v>10</v>
      </c>
    </row>
    <row r="7" spans="2:4" x14ac:dyDescent="0.25">
      <c r="B7" t="s">
        <v>19</v>
      </c>
      <c r="C7" t="s">
        <v>17</v>
      </c>
    </row>
    <row r="10" spans="2:4" x14ac:dyDescent="0.25">
      <c r="C10" s="4" t="str">
        <f>Username()</f>
        <v>Kamil_A</v>
      </c>
      <c r="D10" t="str">
        <f>VLOOKUP(C10,B3:C4,2)</f>
        <v>C:\Users\Kamil_A\Desktop\centauri\</v>
      </c>
    </row>
    <row r="11" spans="2:4" x14ac:dyDescent="0.25">
      <c r="C11" t="str">
        <f>C10</f>
        <v>Kamil_A</v>
      </c>
      <c r="D11" t="str">
        <f>VLOOKUP(C11,B6:C7,2)</f>
        <v>D:\inkscape\inkscape.com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madina</dc:creator>
  <cp:lastModifiedBy>Камиль К. Абдулаев</cp:lastModifiedBy>
  <dcterms:created xsi:type="dcterms:W3CDTF">2018-11-18T12:10:33Z</dcterms:created>
  <dcterms:modified xsi:type="dcterms:W3CDTF">2019-04-19T14:54:30Z</dcterms:modified>
</cp:coreProperties>
</file>